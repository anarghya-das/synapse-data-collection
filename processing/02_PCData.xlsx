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https://api.box.com/wopi/files/2035556658175/WOPIServiceId_TP_BOX_2/WOPIUserId_-/"/>
    </mc:Choice>
  </mc:AlternateContent>
  <xr:revisionPtr revIDLastSave="1398" documentId="13_ncr:1_{AD74429B-12C0-4E7C-B32E-65E90EFA36C7}" xr6:coauthVersionLast="47" xr6:coauthVersionMax="47" xr10:uidLastSave="{2364CF29-4788-0B47-9338-34094F6AB6D2}"/>
  <bookViews>
    <workbookView xWindow="0" yWindow="660" windowWidth="30240" windowHeight="17720" firstSheet="2" activeTab="4" xr2:uid="{57F18FA7-FF78-AE4C-9ECE-EADE100E16B1}"/>
  </bookViews>
  <sheets>
    <sheet name="Data Summary" sheetId="1" r:id="rId1"/>
    <sheet name="EXP Participant Summary " sheetId="11" r:id="rId2"/>
    <sheet name="CTRL Participant Summary" sheetId="6" r:id="rId3"/>
    <sheet name="Demographics" sheetId="3" r:id="rId4"/>
    <sheet name="Audio Data" sheetId="2" r:id="rId5"/>
    <sheet name="Questionnaires" sheetId="4" r:id="rId6"/>
    <sheet name="Questionnaires (OpenBCi)" sheetId="18" r:id="rId7"/>
    <sheet name="Questionnaires (Neurable)" sheetId="19" r:id="rId8"/>
    <sheet name="Data Quality" sheetId="9" r:id="rId9"/>
    <sheet name="Severity Data Sum" sheetId="10" r:id="rId10"/>
    <sheet name="Unfinished" sheetId="8" r:id="rId11"/>
    <sheet name="Excluded Data" sheetId="16" r:id="rId12"/>
    <sheet name="Exclusion Reason (TBF)" sheetId="1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3" i="2" l="1"/>
  <c r="AP43" i="2"/>
  <c r="BY43" i="2"/>
  <c r="BQ43" i="2"/>
  <c r="CT43" i="2"/>
  <c r="CU43" i="2"/>
  <c r="CV43" i="2"/>
  <c r="CW43" i="2"/>
  <c r="CX43" i="2"/>
  <c r="CY43" i="2"/>
  <c r="CM43" i="2"/>
  <c r="CN43" i="2"/>
  <c r="CO43" i="2"/>
  <c r="CP43" i="2"/>
  <c r="CQ43" i="2"/>
  <c r="CR43" i="2"/>
  <c r="AA42" i="18"/>
  <c r="AB39" i="18"/>
  <c r="Z42" i="18"/>
  <c r="Y42" i="18"/>
  <c r="M42" i="18"/>
  <c r="H38" i="3"/>
  <c r="AB35" i="18"/>
  <c r="CT39" i="2"/>
  <c r="CU39" i="2"/>
  <c r="CV39" i="2"/>
  <c r="CW39" i="2"/>
  <c r="CX39" i="2"/>
  <c r="CY39" i="2"/>
  <c r="CM39" i="2"/>
  <c r="CN39" i="2"/>
  <c r="CO39" i="2"/>
  <c r="CP39" i="2"/>
  <c r="CQ39" i="2"/>
  <c r="CR39" i="2"/>
  <c r="BY39" i="2"/>
  <c r="BQ39" i="2"/>
  <c r="AP39" i="2"/>
  <c r="AE39" i="2"/>
  <c r="I42" i="18" l="1"/>
  <c r="U45" i="2"/>
  <c r="H33" i="3"/>
  <c r="H35" i="3"/>
  <c r="H36" i="3"/>
  <c r="H37" i="3"/>
  <c r="AP40" i="2"/>
  <c r="AP41" i="2"/>
  <c r="AP42" i="2"/>
  <c r="AE40" i="2"/>
  <c r="AE41" i="2"/>
  <c r="AE42" i="2"/>
  <c r="AE38" i="2"/>
  <c r="Q45" i="2"/>
  <c r="R45" i="2"/>
  <c r="S45" i="2"/>
  <c r="T45" i="2"/>
  <c r="P45" i="2"/>
  <c r="BY40" i="2"/>
  <c r="BY41" i="2"/>
  <c r="BY42" i="2"/>
  <c r="BQ40" i="2"/>
  <c r="BQ41" i="2"/>
  <c r="BQ42" i="2"/>
  <c r="CT40" i="2"/>
  <c r="CU40" i="2"/>
  <c r="CV40" i="2"/>
  <c r="CW40" i="2"/>
  <c r="CX40" i="2"/>
  <c r="CY40" i="2"/>
  <c r="CT41" i="2"/>
  <c r="CU41" i="2"/>
  <c r="CV41" i="2"/>
  <c r="CW41" i="2"/>
  <c r="CX41" i="2"/>
  <c r="CY41" i="2"/>
  <c r="CT42" i="2"/>
  <c r="CU42" i="2"/>
  <c r="CV42" i="2"/>
  <c r="CW42" i="2"/>
  <c r="CX42" i="2"/>
  <c r="CY42" i="2"/>
  <c r="CM40" i="2"/>
  <c r="CN40" i="2"/>
  <c r="CO40" i="2"/>
  <c r="CP40" i="2"/>
  <c r="CQ40" i="2"/>
  <c r="CR40" i="2"/>
  <c r="CM41" i="2"/>
  <c r="CN41" i="2"/>
  <c r="CO41" i="2"/>
  <c r="CP41" i="2"/>
  <c r="CQ41" i="2"/>
  <c r="CR41" i="2"/>
  <c r="CM42" i="2"/>
  <c r="CN42" i="2"/>
  <c r="CO42" i="2"/>
  <c r="CP42" i="2"/>
  <c r="CQ42" i="2"/>
  <c r="CR42" i="2"/>
  <c r="AB38" i="18"/>
  <c r="H31" i="3"/>
  <c r="G30" i="3"/>
  <c r="H30" i="3" s="1"/>
  <c r="CT38" i="2" l="1"/>
  <c r="CU38" i="2"/>
  <c r="CV38" i="2"/>
  <c r="CW38" i="2"/>
  <c r="CX38" i="2"/>
  <c r="CY38" i="2"/>
  <c r="CM38" i="2"/>
  <c r="CN38" i="2"/>
  <c r="CO38" i="2"/>
  <c r="CP38" i="2"/>
  <c r="CQ38" i="2"/>
  <c r="CR38" i="2"/>
  <c r="BY38" i="2"/>
  <c r="AP38" i="2"/>
  <c r="AB37" i="18" l="1"/>
  <c r="O42" i="18"/>
  <c r="E42" i="18"/>
  <c r="D42" i="18"/>
  <c r="AB36" i="18"/>
  <c r="AB46" i="18"/>
  <c r="AB47" i="18"/>
  <c r="AB48" i="18"/>
  <c r="AB49" i="18"/>
  <c r="AB50" i="18"/>
  <c r="AB51" i="18"/>
  <c r="AB52" i="18"/>
  <c r="AB53" i="18"/>
  <c r="AB54" i="18"/>
  <c r="AB55" i="18"/>
  <c r="AB56" i="18"/>
  <c r="AB57" i="18"/>
  <c r="AB58" i="18"/>
  <c r="AB59" i="18"/>
  <c r="AB60" i="18"/>
  <c r="AB61" i="18"/>
  <c r="AB62" i="18"/>
  <c r="AB63" i="18"/>
  <c r="AB64" i="18"/>
  <c r="AB65" i="18"/>
  <c r="AB45" i="18"/>
  <c r="AB31" i="18"/>
  <c r="AB32" i="18"/>
  <c r="AB33" i="18"/>
  <c r="AB34" i="18"/>
  <c r="AB5" i="18"/>
  <c r="AB6" i="18"/>
  <c r="AB7" i="18"/>
  <c r="AB8" i="18"/>
  <c r="AB9" i="18"/>
  <c r="AB10" i="18"/>
  <c r="AB11" i="18"/>
  <c r="AB12" i="18"/>
  <c r="AB13" i="18"/>
  <c r="AB14" i="18"/>
  <c r="AB15" i="18"/>
  <c r="AB16" i="18"/>
  <c r="AB17" i="18"/>
  <c r="AB18" i="18"/>
  <c r="AB19" i="18"/>
  <c r="AB20" i="18"/>
  <c r="AB21" i="18"/>
  <c r="AB22" i="18"/>
  <c r="AB23" i="18"/>
  <c r="AB24" i="18"/>
  <c r="AB25" i="18"/>
  <c r="AB26" i="18"/>
  <c r="AB27" i="18"/>
  <c r="AB28" i="18"/>
  <c r="AB29" i="18"/>
  <c r="AB30" i="18"/>
  <c r="AB4" i="18"/>
  <c r="H32" i="3"/>
  <c r="G42" i="18"/>
  <c r="K73" i="2"/>
  <c r="Z25" i="19"/>
  <c r="Y25" i="19"/>
  <c r="X25" i="19"/>
  <c r="Q25" i="19"/>
  <c r="P25" i="19"/>
  <c r="O25" i="19"/>
  <c r="N25" i="19"/>
  <c r="L25" i="19"/>
  <c r="Z12" i="19"/>
  <c r="Y12" i="19"/>
  <c r="X12" i="19"/>
  <c r="V12" i="19"/>
  <c r="U12" i="19"/>
  <c r="T12" i="19"/>
  <c r="S12" i="19"/>
  <c r="Q12" i="19"/>
  <c r="P12" i="19"/>
  <c r="O12" i="19"/>
  <c r="N12" i="19"/>
  <c r="L12" i="19"/>
  <c r="J12" i="19"/>
  <c r="I12" i="19"/>
  <c r="H12" i="19"/>
  <c r="G12" i="19"/>
  <c r="F12" i="19"/>
  <c r="E12" i="19"/>
  <c r="D12" i="19"/>
  <c r="C12" i="19"/>
  <c r="AA73" i="18"/>
  <c r="Z73" i="18"/>
  <c r="Y73" i="18"/>
  <c r="R73" i="18"/>
  <c r="Q73" i="18"/>
  <c r="P73" i="18"/>
  <c r="O73" i="18"/>
  <c r="M73" i="18"/>
  <c r="W42" i="18"/>
  <c r="V42" i="18"/>
  <c r="U42" i="18"/>
  <c r="T42" i="18"/>
  <c r="R42" i="18"/>
  <c r="Q42" i="18"/>
  <c r="P42" i="18"/>
  <c r="K42" i="18"/>
  <c r="J42" i="18"/>
  <c r="H42" i="18"/>
  <c r="F42" i="18"/>
  <c r="C42" i="18"/>
  <c r="G33" i="16"/>
  <c r="BI5" i="16"/>
  <c r="AH5" i="16"/>
  <c r="W5" i="16"/>
  <c r="BQ38" i="2"/>
  <c r="BQ36" i="2"/>
  <c r="BQ37" i="2"/>
  <c r="BQ35" i="2"/>
  <c r="BQ33" i="2"/>
  <c r="AP12" i="2"/>
  <c r="AP35" i="2"/>
  <c r="AP33" i="2"/>
  <c r="AP34" i="2"/>
  <c r="AE32" i="2"/>
  <c r="CY35" i="2"/>
  <c r="CX35" i="2"/>
  <c r="CW35" i="2"/>
  <c r="CV35" i="2"/>
  <c r="CU35" i="2"/>
  <c r="CT35" i="2"/>
  <c r="CR35" i="2"/>
  <c r="CQ35" i="2"/>
  <c r="CP35" i="2"/>
  <c r="CO35" i="2"/>
  <c r="CN35" i="2"/>
  <c r="CM35" i="2"/>
  <c r="BY35" i="2"/>
  <c r="AE35" i="2"/>
  <c r="CY34" i="2"/>
  <c r="CX34" i="2"/>
  <c r="CW34" i="2"/>
  <c r="CV34" i="2"/>
  <c r="CU34" i="2"/>
  <c r="CT34" i="2"/>
  <c r="CR34" i="2"/>
  <c r="CQ34" i="2"/>
  <c r="CP34" i="2"/>
  <c r="CO34" i="2"/>
  <c r="CN34" i="2"/>
  <c r="CM34" i="2"/>
  <c r="BY34" i="2"/>
  <c r="BQ34" i="2"/>
  <c r="Q73" i="2"/>
  <c r="R73" i="2"/>
  <c r="S73" i="2"/>
  <c r="T73" i="2"/>
  <c r="P73" i="2"/>
  <c r="CW18" i="8"/>
  <c r="CV18" i="8"/>
  <c r="CU18" i="8"/>
  <c r="CT18" i="8"/>
  <c r="CS18" i="8"/>
  <c r="CR18" i="8"/>
  <c r="CP18" i="8"/>
  <c r="CO18" i="8"/>
  <c r="CN18" i="8"/>
  <c r="CM18" i="8"/>
  <c r="CL18" i="8"/>
  <c r="CK18" i="8"/>
  <c r="BW18" i="8"/>
  <c r="BO18" i="8"/>
  <c r="AN18" i="8"/>
  <c r="AC18" i="8"/>
  <c r="CW17" i="8"/>
  <c r="CV17" i="8"/>
  <c r="CU17" i="8"/>
  <c r="CT17" i="8"/>
  <c r="CS17" i="8"/>
  <c r="CR17" i="8"/>
  <c r="CP17" i="8"/>
  <c r="CO17" i="8"/>
  <c r="CN17" i="8"/>
  <c r="CM17" i="8"/>
  <c r="CL17" i="8"/>
  <c r="CK17" i="8"/>
  <c r="BW17" i="8"/>
  <c r="BO17" i="8"/>
  <c r="AN17" i="8"/>
  <c r="AC17" i="8"/>
  <c r="CW16" i="8"/>
  <c r="CV16" i="8"/>
  <c r="CU16" i="8"/>
  <c r="CT16" i="8"/>
  <c r="CS16" i="8"/>
  <c r="CR16" i="8"/>
  <c r="CP16" i="8"/>
  <c r="CO16" i="8"/>
  <c r="CN16" i="8"/>
  <c r="CM16" i="8"/>
  <c r="CL16" i="8"/>
  <c r="CK16" i="8"/>
  <c r="BW16" i="8"/>
  <c r="BO16" i="8"/>
  <c r="AN16" i="8"/>
  <c r="AC16" i="8"/>
  <c r="CY69" i="2"/>
  <c r="CX69" i="2"/>
  <c r="CW69" i="2"/>
  <c r="CV69" i="2"/>
  <c r="CU69" i="2"/>
  <c r="CT69" i="2"/>
  <c r="CR69" i="2"/>
  <c r="CQ69" i="2"/>
  <c r="CP69" i="2"/>
  <c r="CO69" i="2"/>
  <c r="CN69" i="2"/>
  <c r="CM69" i="2"/>
  <c r="BY69" i="2"/>
  <c r="BQ69" i="2"/>
  <c r="AP69" i="2"/>
  <c r="AE69" i="2"/>
  <c r="CY37" i="2"/>
  <c r="CY67" i="2"/>
  <c r="CY68" i="2"/>
  <c r="CX37" i="2"/>
  <c r="CX67" i="2"/>
  <c r="CX68" i="2"/>
  <c r="CW37" i="2"/>
  <c r="CW67" i="2"/>
  <c r="CW68" i="2"/>
  <c r="CV37" i="2"/>
  <c r="CV67" i="2"/>
  <c r="CV68" i="2"/>
  <c r="CU37" i="2"/>
  <c r="CU67" i="2"/>
  <c r="CU68" i="2"/>
  <c r="CT37" i="2"/>
  <c r="CT67" i="2"/>
  <c r="CT68" i="2"/>
  <c r="CR37" i="2"/>
  <c r="CR67" i="2"/>
  <c r="CR68" i="2"/>
  <c r="CQ37" i="2"/>
  <c r="CQ67" i="2"/>
  <c r="CQ68" i="2"/>
  <c r="CP37" i="2"/>
  <c r="CP67" i="2"/>
  <c r="CP68" i="2"/>
  <c r="CO37" i="2"/>
  <c r="CO67" i="2"/>
  <c r="CO68" i="2"/>
  <c r="CN37" i="2"/>
  <c r="CN67" i="2"/>
  <c r="CN68" i="2"/>
  <c r="CM37" i="2"/>
  <c r="CM67" i="2"/>
  <c r="CM68" i="2"/>
  <c r="BY37" i="2"/>
  <c r="BY67" i="2"/>
  <c r="BY68" i="2"/>
  <c r="BQ67" i="2"/>
  <c r="BQ68" i="2"/>
  <c r="AP68" i="2"/>
  <c r="AP37" i="2"/>
  <c r="AP67" i="2"/>
  <c r="AE37" i="2"/>
  <c r="AE67" i="2"/>
  <c r="AE68" i="2"/>
  <c r="K45" i="2"/>
  <c r="G12" i="3"/>
  <c r="F24" i="2"/>
  <c r="BQ32" i="2"/>
  <c r="F30" i="2"/>
  <c r="G17" i="3"/>
  <c r="G14" i="3"/>
  <c r="G23" i="3"/>
  <c r="F25" i="3"/>
  <c r="F24" i="3"/>
  <c r="G45" i="3"/>
  <c r="G40" i="3"/>
  <c r="G25" i="3"/>
  <c r="G24" i="3"/>
  <c r="BY33" i="2"/>
  <c r="CM33" i="2"/>
  <c r="CY33" i="2"/>
  <c r="CX33" i="2"/>
  <c r="CW33" i="2"/>
  <c r="CV33" i="2"/>
  <c r="CU33" i="2"/>
  <c r="CT33" i="2"/>
  <c r="CR33" i="2"/>
  <c r="CQ33" i="2"/>
  <c r="CP33" i="2"/>
  <c r="CO33" i="2"/>
  <c r="CN33" i="2"/>
  <c r="AE33" i="2"/>
  <c r="H29" i="3"/>
  <c r="CY50" i="2"/>
  <c r="CY51" i="2"/>
  <c r="CY52" i="2"/>
  <c r="CY53" i="2"/>
  <c r="CY54" i="2"/>
  <c r="CY55" i="2"/>
  <c r="CY56" i="2"/>
  <c r="CY57" i="2"/>
  <c r="CY58" i="2"/>
  <c r="CY59" i="2"/>
  <c r="CY60" i="2"/>
  <c r="CY61" i="2"/>
  <c r="CY62" i="2"/>
  <c r="CY63" i="2"/>
  <c r="CY64" i="2"/>
  <c r="CY65" i="2"/>
  <c r="CY66" i="2"/>
  <c r="CX50" i="2"/>
  <c r="CX51" i="2"/>
  <c r="CX52" i="2"/>
  <c r="CX53" i="2"/>
  <c r="CX54" i="2"/>
  <c r="CX55" i="2"/>
  <c r="CX56" i="2"/>
  <c r="CX57" i="2"/>
  <c r="CX58" i="2"/>
  <c r="CX59" i="2"/>
  <c r="CX60" i="2"/>
  <c r="CX61" i="2"/>
  <c r="CX62" i="2"/>
  <c r="CX63" i="2"/>
  <c r="CX64" i="2"/>
  <c r="CX65" i="2"/>
  <c r="CX66" i="2"/>
  <c r="CW50" i="2"/>
  <c r="CW51" i="2"/>
  <c r="CW52" i="2"/>
  <c r="CW53" i="2"/>
  <c r="CW54" i="2"/>
  <c r="CW55" i="2"/>
  <c r="CW56" i="2"/>
  <c r="CW57" i="2"/>
  <c r="CW58" i="2"/>
  <c r="CW59" i="2"/>
  <c r="CW60" i="2"/>
  <c r="CW61" i="2"/>
  <c r="CW62" i="2"/>
  <c r="CW63" i="2"/>
  <c r="CW64" i="2"/>
  <c r="CW65" i="2"/>
  <c r="CW66" i="2"/>
  <c r="CV50" i="2"/>
  <c r="CV51" i="2"/>
  <c r="CV52" i="2"/>
  <c r="CV53" i="2"/>
  <c r="CV54" i="2"/>
  <c r="CV55" i="2"/>
  <c r="CV56" i="2"/>
  <c r="CV57" i="2"/>
  <c r="CV58" i="2"/>
  <c r="CV59" i="2"/>
  <c r="CV60" i="2"/>
  <c r="CV61" i="2"/>
  <c r="CV62" i="2"/>
  <c r="CV63" i="2"/>
  <c r="CV64" i="2"/>
  <c r="CV65" i="2"/>
  <c r="CV66" i="2"/>
  <c r="CU50" i="2"/>
  <c r="CU51" i="2"/>
  <c r="CU52" i="2"/>
  <c r="CU53" i="2"/>
  <c r="CU54" i="2"/>
  <c r="CU55" i="2"/>
  <c r="CU56" i="2"/>
  <c r="CU57" i="2"/>
  <c r="CU58" i="2"/>
  <c r="CU59" i="2"/>
  <c r="CU60" i="2"/>
  <c r="CU61" i="2"/>
  <c r="CU62" i="2"/>
  <c r="CU63" i="2"/>
  <c r="CU64" i="2"/>
  <c r="CU65" i="2"/>
  <c r="CU66" i="2"/>
  <c r="CT50" i="2"/>
  <c r="CT51" i="2"/>
  <c r="CT52" i="2"/>
  <c r="CT53" i="2"/>
  <c r="CT54" i="2"/>
  <c r="CT55" i="2"/>
  <c r="CT56" i="2"/>
  <c r="CT57" i="2"/>
  <c r="CT58" i="2"/>
  <c r="CT59" i="2"/>
  <c r="CT60" i="2"/>
  <c r="CT61" i="2"/>
  <c r="CT62" i="2"/>
  <c r="CT63" i="2"/>
  <c r="CT64" i="2"/>
  <c r="CT65" i="2"/>
  <c r="CT66" i="2"/>
  <c r="CR50" i="2"/>
  <c r="CR51" i="2"/>
  <c r="CR52" i="2"/>
  <c r="CR53" i="2"/>
  <c r="CR54" i="2"/>
  <c r="CR55" i="2"/>
  <c r="CR56" i="2"/>
  <c r="CR57" i="2"/>
  <c r="CR58" i="2"/>
  <c r="CR59" i="2"/>
  <c r="CR60" i="2"/>
  <c r="CR61" i="2"/>
  <c r="CR62" i="2"/>
  <c r="CR63" i="2"/>
  <c r="CR64" i="2"/>
  <c r="CR65" i="2"/>
  <c r="CR66" i="2"/>
  <c r="CQ50" i="2"/>
  <c r="CQ51" i="2"/>
  <c r="CQ52" i="2"/>
  <c r="CQ53" i="2"/>
  <c r="CQ54" i="2"/>
  <c r="CQ55" i="2"/>
  <c r="CQ56" i="2"/>
  <c r="CQ57" i="2"/>
  <c r="CQ58" i="2"/>
  <c r="CQ59" i="2"/>
  <c r="CQ60" i="2"/>
  <c r="CQ61" i="2"/>
  <c r="CQ62" i="2"/>
  <c r="CQ63" i="2"/>
  <c r="CQ64" i="2"/>
  <c r="CQ65" i="2"/>
  <c r="CQ66" i="2"/>
  <c r="CP50" i="2"/>
  <c r="CP51" i="2"/>
  <c r="CP52" i="2"/>
  <c r="CP53" i="2"/>
  <c r="CP54" i="2"/>
  <c r="CP55" i="2"/>
  <c r="CP56" i="2"/>
  <c r="CP57" i="2"/>
  <c r="CP58" i="2"/>
  <c r="CP59" i="2"/>
  <c r="CP60" i="2"/>
  <c r="CP61" i="2"/>
  <c r="CP62" i="2"/>
  <c r="CP63" i="2"/>
  <c r="CP64" i="2"/>
  <c r="CP65" i="2"/>
  <c r="CP66" i="2"/>
  <c r="CO50" i="2"/>
  <c r="CO51" i="2"/>
  <c r="CO52" i="2"/>
  <c r="CO53" i="2"/>
  <c r="CO54" i="2"/>
  <c r="CO55" i="2"/>
  <c r="CO56" i="2"/>
  <c r="CO57" i="2"/>
  <c r="CO58" i="2"/>
  <c r="CO59" i="2"/>
  <c r="CO60" i="2"/>
  <c r="CO61" i="2"/>
  <c r="CO62" i="2"/>
  <c r="CO63" i="2"/>
  <c r="CO64" i="2"/>
  <c r="CO65" i="2"/>
  <c r="CO66" i="2"/>
  <c r="CN50" i="2"/>
  <c r="CN51" i="2"/>
  <c r="CN52" i="2"/>
  <c r="CN53" i="2"/>
  <c r="CN54" i="2"/>
  <c r="CN55" i="2"/>
  <c r="CN56" i="2"/>
  <c r="CN57" i="2"/>
  <c r="CN58" i="2"/>
  <c r="CN59" i="2"/>
  <c r="CN60" i="2"/>
  <c r="CN61" i="2"/>
  <c r="CN62" i="2"/>
  <c r="CN63" i="2"/>
  <c r="CN64" i="2"/>
  <c r="CN65" i="2"/>
  <c r="CN66" i="2"/>
  <c r="CM50" i="2"/>
  <c r="CM51" i="2"/>
  <c r="CM52" i="2"/>
  <c r="CM53" i="2"/>
  <c r="CM54" i="2"/>
  <c r="CM55" i="2"/>
  <c r="CM56" i="2"/>
  <c r="CM57" i="2"/>
  <c r="CM58" i="2"/>
  <c r="CM59" i="2"/>
  <c r="CM60" i="2"/>
  <c r="CM61" i="2"/>
  <c r="CM62" i="2"/>
  <c r="CM63" i="2"/>
  <c r="CM64" i="2"/>
  <c r="CM65" i="2"/>
  <c r="CM66" i="2"/>
  <c r="CY9" i="2"/>
  <c r="CY10" i="2"/>
  <c r="CY12" i="2"/>
  <c r="CY13" i="2"/>
  <c r="CY14" i="2"/>
  <c r="CY15" i="2"/>
  <c r="CY16" i="2"/>
  <c r="CY17" i="2"/>
  <c r="CY18" i="2"/>
  <c r="CY19" i="2"/>
  <c r="CY20" i="2"/>
  <c r="CY21" i="2"/>
  <c r="CY22" i="2"/>
  <c r="CY23" i="2"/>
  <c r="CY24" i="2"/>
  <c r="CY25" i="2"/>
  <c r="CY26" i="2"/>
  <c r="CY27" i="2"/>
  <c r="CY28" i="2"/>
  <c r="CY29" i="2"/>
  <c r="CY30" i="2"/>
  <c r="CY31" i="2"/>
  <c r="CY32" i="2"/>
  <c r="CX9" i="2"/>
  <c r="CX10" i="2"/>
  <c r="CX11" i="2"/>
  <c r="CX12" i="2"/>
  <c r="CX13" i="2"/>
  <c r="CX14" i="2"/>
  <c r="CX15" i="2"/>
  <c r="CX16" i="2"/>
  <c r="CX17" i="2"/>
  <c r="CX18" i="2"/>
  <c r="CX19" i="2"/>
  <c r="CX20" i="2"/>
  <c r="CX21" i="2"/>
  <c r="CX22" i="2"/>
  <c r="CX23" i="2"/>
  <c r="CX24" i="2"/>
  <c r="CX25" i="2"/>
  <c r="CX26" i="2"/>
  <c r="CX27" i="2"/>
  <c r="CX28" i="2"/>
  <c r="CX29" i="2"/>
  <c r="CX30" i="2"/>
  <c r="CX31" i="2"/>
  <c r="CX32" i="2"/>
  <c r="CW9" i="2"/>
  <c r="CW10" i="2"/>
  <c r="CW11" i="2"/>
  <c r="CW12" i="2"/>
  <c r="CW13" i="2"/>
  <c r="CW14" i="2"/>
  <c r="CW15" i="2"/>
  <c r="CW16" i="2"/>
  <c r="CW17" i="2"/>
  <c r="CW18" i="2"/>
  <c r="CW19" i="2"/>
  <c r="CW20" i="2"/>
  <c r="CW21" i="2"/>
  <c r="CW22" i="2"/>
  <c r="CW23" i="2"/>
  <c r="CW24" i="2"/>
  <c r="CW25" i="2"/>
  <c r="CW26" i="2"/>
  <c r="CW27" i="2"/>
  <c r="CW28" i="2"/>
  <c r="CW29" i="2"/>
  <c r="CW30" i="2"/>
  <c r="CW31" i="2"/>
  <c r="CW32" i="2"/>
  <c r="CV9" i="2"/>
  <c r="CV10" i="2"/>
  <c r="CV11" i="2"/>
  <c r="CV12" i="2"/>
  <c r="CV13" i="2"/>
  <c r="CV14" i="2"/>
  <c r="CV15" i="2"/>
  <c r="CV16" i="2"/>
  <c r="CV17" i="2"/>
  <c r="CV18" i="2"/>
  <c r="CV19" i="2"/>
  <c r="CV20" i="2"/>
  <c r="CV21" i="2"/>
  <c r="CV22" i="2"/>
  <c r="CV23" i="2"/>
  <c r="CV24" i="2"/>
  <c r="CV25" i="2"/>
  <c r="CV26" i="2"/>
  <c r="CV27" i="2"/>
  <c r="CV28" i="2"/>
  <c r="CV29" i="2"/>
  <c r="CV30" i="2"/>
  <c r="CV31" i="2"/>
  <c r="CV32" i="2"/>
  <c r="CU9" i="2"/>
  <c r="CU10" i="2"/>
  <c r="CU11" i="2"/>
  <c r="CU12" i="2"/>
  <c r="CU13" i="2"/>
  <c r="CU14" i="2"/>
  <c r="CU15" i="2"/>
  <c r="CU16" i="2"/>
  <c r="CU17" i="2"/>
  <c r="CU18" i="2"/>
  <c r="CU19" i="2"/>
  <c r="CU20" i="2"/>
  <c r="CU21" i="2"/>
  <c r="CU22" i="2"/>
  <c r="CU23" i="2"/>
  <c r="CU24" i="2"/>
  <c r="CU25" i="2"/>
  <c r="CU26" i="2"/>
  <c r="CU27" i="2"/>
  <c r="CU28" i="2"/>
  <c r="CU29" i="2"/>
  <c r="CU30" i="2"/>
  <c r="CU31" i="2"/>
  <c r="CU32" i="2"/>
  <c r="CT9" i="2"/>
  <c r="CT10" i="2"/>
  <c r="CT11" i="2"/>
  <c r="CT12" i="2"/>
  <c r="CT13" i="2"/>
  <c r="CT14" i="2"/>
  <c r="CT15" i="2"/>
  <c r="CT16" i="2"/>
  <c r="CT17" i="2"/>
  <c r="CT18" i="2"/>
  <c r="CT19" i="2"/>
  <c r="CT20" i="2"/>
  <c r="CT21" i="2"/>
  <c r="CT22" i="2"/>
  <c r="CT23" i="2"/>
  <c r="CT24" i="2"/>
  <c r="CT25" i="2"/>
  <c r="CT26" i="2"/>
  <c r="CT27" i="2"/>
  <c r="CT28" i="2"/>
  <c r="CT29" i="2"/>
  <c r="CT30" i="2"/>
  <c r="CT31" i="2"/>
  <c r="CT32" i="2"/>
  <c r="CY8" i="2"/>
  <c r="CX8" i="2"/>
  <c r="CU8" i="2"/>
  <c r="CV8" i="2"/>
  <c r="CW8" i="2"/>
  <c r="CT8" i="2"/>
  <c r="CR9" i="2"/>
  <c r="CR10" i="2"/>
  <c r="CR12" i="2"/>
  <c r="CR13" i="2"/>
  <c r="CR14" i="2"/>
  <c r="CR15" i="2"/>
  <c r="CR16" i="2"/>
  <c r="CR17" i="2"/>
  <c r="CR18" i="2"/>
  <c r="CR19" i="2"/>
  <c r="CR20" i="2"/>
  <c r="CR21" i="2"/>
  <c r="CR23" i="2"/>
  <c r="CR24" i="2"/>
  <c r="CR25" i="2"/>
  <c r="CR26" i="2"/>
  <c r="CR27" i="2"/>
  <c r="CR28" i="2"/>
  <c r="CR29" i="2"/>
  <c r="CR30" i="2"/>
  <c r="CR31" i="2"/>
  <c r="CR32" i="2"/>
  <c r="CQ9" i="2"/>
  <c r="CQ10" i="2"/>
  <c r="CQ11" i="2"/>
  <c r="CQ12" i="2"/>
  <c r="CQ13" i="2"/>
  <c r="CQ14" i="2"/>
  <c r="CQ15" i="2"/>
  <c r="CQ16" i="2"/>
  <c r="CQ17" i="2"/>
  <c r="CQ18" i="2"/>
  <c r="CQ19" i="2"/>
  <c r="CQ20" i="2"/>
  <c r="CQ21" i="2"/>
  <c r="CQ23" i="2"/>
  <c r="CQ24" i="2"/>
  <c r="CQ25" i="2"/>
  <c r="CQ26" i="2"/>
  <c r="CQ27" i="2"/>
  <c r="CQ28" i="2"/>
  <c r="CQ29" i="2"/>
  <c r="CQ30" i="2"/>
  <c r="CQ31" i="2"/>
  <c r="CQ32" i="2"/>
  <c r="CP9" i="2"/>
  <c r="CP10" i="2"/>
  <c r="CP11" i="2"/>
  <c r="CP12" i="2"/>
  <c r="CP13" i="2"/>
  <c r="CP14" i="2"/>
  <c r="CP15" i="2"/>
  <c r="CP16" i="2"/>
  <c r="CP17" i="2"/>
  <c r="CP18" i="2"/>
  <c r="CP19" i="2"/>
  <c r="CP20" i="2"/>
  <c r="CP21" i="2"/>
  <c r="CP23" i="2"/>
  <c r="CP24" i="2"/>
  <c r="CP25" i="2"/>
  <c r="CP26" i="2"/>
  <c r="CP27" i="2"/>
  <c r="CP28" i="2"/>
  <c r="CP29" i="2"/>
  <c r="CP30" i="2"/>
  <c r="CP31" i="2"/>
  <c r="CP32" i="2"/>
  <c r="CO9" i="2"/>
  <c r="CO10" i="2"/>
  <c r="CO11" i="2"/>
  <c r="CO12" i="2"/>
  <c r="CO13" i="2"/>
  <c r="CO14" i="2"/>
  <c r="CO15" i="2"/>
  <c r="CO16" i="2"/>
  <c r="CO17" i="2"/>
  <c r="CO18" i="2"/>
  <c r="CO19" i="2"/>
  <c r="CO20" i="2"/>
  <c r="CO21" i="2"/>
  <c r="CO23" i="2"/>
  <c r="CO24" i="2"/>
  <c r="CO25" i="2"/>
  <c r="CO26" i="2"/>
  <c r="CO27" i="2"/>
  <c r="CO28" i="2"/>
  <c r="CO29" i="2"/>
  <c r="CO30" i="2"/>
  <c r="CO31" i="2"/>
  <c r="CO32" i="2"/>
  <c r="CN9" i="2"/>
  <c r="CN10" i="2"/>
  <c r="CN11" i="2"/>
  <c r="CN12" i="2"/>
  <c r="CN13" i="2"/>
  <c r="CN14" i="2"/>
  <c r="CN15" i="2"/>
  <c r="CN16" i="2"/>
  <c r="CN17" i="2"/>
  <c r="CN18" i="2"/>
  <c r="CN19" i="2"/>
  <c r="CN20" i="2"/>
  <c r="CN21" i="2"/>
  <c r="CN23" i="2"/>
  <c r="CN24" i="2"/>
  <c r="CN25" i="2"/>
  <c r="CN26" i="2"/>
  <c r="CN27" i="2"/>
  <c r="CN28" i="2"/>
  <c r="CN29" i="2"/>
  <c r="CN30" i="2"/>
  <c r="CN31" i="2"/>
  <c r="CN32" i="2"/>
  <c r="CM9" i="2"/>
  <c r="CM10" i="2"/>
  <c r="CM11" i="2"/>
  <c r="CM12" i="2"/>
  <c r="CM13" i="2"/>
  <c r="CM14" i="2"/>
  <c r="CM15" i="2"/>
  <c r="CM16" i="2"/>
  <c r="CM17" i="2"/>
  <c r="CM18" i="2"/>
  <c r="CM19" i="2"/>
  <c r="CM20" i="2"/>
  <c r="CM21" i="2"/>
  <c r="CM23" i="2"/>
  <c r="CM24" i="2"/>
  <c r="CM25" i="2"/>
  <c r="CM26" i="2"/>
  <c r="CM27" i="2"/>
  <c r="CM28" i="2"/>
  <c r="CM29" i="2"/>
  <c r="CM30" i="2"/>
  <c r="CM31" i="2"/>
  <c r="CM32" i="2"/>
  <c r="CR8" i="2"/>
  <c r="CQ8" i="2"/>
  <c r="CP8" i="2"/>
  <c r="CN8" i="2"/>
  <c r="CO8" i="2"/>
  <c r="CM8" i="2"/>
  <c r="G55" i="3"/>
  <c r="H55" i="3" s="1"/>
  <c r="H24" i="3" l="1"/>
  <c r="C33" i="9"/>
  <c r="E31" i="9"/>
  <c r="F31" i="9"/>
  <c r="G31" i="9"/>
  <c r="H31" i="9"/>
  <c r="D31" i="9"/>
  <c r="H28" i="3"/>
  <c r="BY32" i="2"/>
  <c r="AP32" i="2"/>
  <c r="H56" i="3"/>
  <c r="H26" i="3"/>
  <c r="F26" i="2"/>
  <c r="F25" i="2"/>
  <c r="C61" i="9"/>
  <c r="E59" i="9"/>
  <c r="F59" i="9"/>
  <c r="G59" i="9"/>
  <c r="H59" i="9"/>
  <c r="D59" i="9"/>
  <c r="AP30" i="2"/>
  <c r="AE30" i="2"/>
  <c r="BQ30" i="2"/>
  <c r="BY30" i="2"/>
  <c r="BY31" i="2"/>
  <c r="BY66" i="2"/>
  <c r="BQ66" i="2"/>
  <c r="BY65" i="2"/>
  <c r="BQ65" i="2"/>
  <c r="AP66" i="2"/>
  <c r="AP65" i="2"/>
  <c r="AE65" i="2"/>
  <c r="AE66" i="2"/>
  <c r="AP26" i="2"/>
  <c r="BY26" i="2"/>
  <c r="BQ26" i="2"/>
  <c r="AE26" i="2"/>
  <c r="BQ31" i="2"/>
  <c r="AP31" i="2"/>
  <c r="AE31" i="2"/>
  <c r="G27" i="3"/>
  <c r="F27" i="3"/>
  <c r="F31" i="2"/>
  <c r="S16" i="1"/>
  <c r="S9" i="1"/>
  <c r="BY25" i="2"/>
  <c r="BQ25" i="2"/>
  <c r="AP25" i="2"/>
  <c r="AE25" i="2"/>
  <c r="F27" i="2"/>
  <c r="BY27" i="2"/>
  <c r="BQ27" i="2"/>
  <c r="AP27" i="2"/>
  <c r="AE27" i="2"/>
  <c r="BY29" i="2"/>
  <c r="BQ29" i="2"/>
  <c r="AP29" i="2"/>
  <c r="AE29" i="2"/>
  <c r="F39" i="3"/>
  <c r="F29" i="2"/>
  <c r="BY28" i="2"/>
  <c r="BQ28" i="2"/>
  <c r="AP28" i="2"/>
  <c r="AE28" i="2"/>
  <c r="F28" i="2"/>
  <c r="G54" i="3"/>
  <c r="H54" i="3" s="1"/>
  <c r="G53" i="3"/>
  <c r="H53" i="3" s="1"/>
  <c r="G52" i="3"/>
  <c r="H52" i="3" s="1"/>
  <c r="G51" i="3"/>
  <c r="H51" i="3" s="1"/>
  <c r="G50" i="3"/>
  <c r="H50" i="3" s="1"/>
  <c r="G49" i="3"/>
  <c r="H49" i="3" s="1"/>
  <c r="G48" i="3"/>
  <c r="H48" i="3" s="1"/>
  <c r="G47" i="3"/>
  <c r="H47" i="3" s="1"/>
  <c r="G46" i="3"/>
  <c r="H46" i="3" s="1"/>
  <c r="H45" i="3"/>
  <c r="G44" i="3"/>
  <c r="H44" i="3" s="1"/>
  <c r="G43" i="3"/>
  <c r="H43" i="3" s="1"/>
  <c r="G42" i="3"/>
  <c r="H42" i="3" s="1"/>
  <c r="G41" i="3"/>
  <c r="H41" i="3" s="1"/>
  <c r="F40" i="3"/>
  <c r="G39" i="3"/>
  <c r="F23" i="3"/>
  <c r="G22" i="3"/>
  <c r="F22" i="3"/>
  <c r="H22" i="3" s="1"/>
  <c r="G21" i="3"/>
  <c r="F21" i="3"/>
  <c r="F20" i="3"/>
  <c r="H20" i="3" s="1"/>
  <c r="G19" i="3"/>
  <c r="F19" i="3"/>
  <c r="G18" i="3"/>
  <c r="F18" i="3"/>
  <c r="F17" i="3"/>
  <c r="G16" i="3"/>
  <c r="F16" i="3"/>
  <c r="G15" i="3"/>
  <c r="F15" i="3"/>
  <c r="F14" i="3"/>
  <c r="G13" i="3"/>
  <c r="F13" i="3"/>
  <c r="F12" i="3"/>
  <c r="H12" i="3" s="1"/>
  <c r="G11" i="3"/>
  <c r="F11" i="3"/>
  <c r="G10" i="3"/>
  <c r="F10" i="3"/>
  <c r="G9" i="3"/>
  <c r="F9" i="3"/>
  <c r="G8" i="3"/>
  <c r="F8" i="3"/>
  <c r="G7" i="3"/>
  <c r="F7" i="3"/>
  <c r="G6" i="3"/>
  <c r="F6" i="3"/>
  <c r="G5" i="3"/>
  <c r="F5" i="3"/>
  <c r="H5" i="3" s="1"/>
  <c r="G4" i="3"/>
  <c r="F4" i="3"/>
  <c r="BQ6" i="8"/>
  <c r="BQ5" i="8"/>
  <c r="AH6" i="8"/>
  <c r="AH5" i="8"/>
  <c r="W6" i="8"/>
  <c r="W5" i="8"/>
  <c r="I13" i="1"/>
  <c r="F12" i="1"/>
  <c r="O11" i="1"/>
  <c r="L11" i="1"/>
  <c r="C8" i="1"/>
  <c r="BQ9" i="8"/>
  <c r="BI9" i="8"/>
  <c r="AH9" i="8"/>
  <c r="W9" i="8"/>
  <c r="E9" i="8"/>
  <c r="BQ8" i="8"/>
  <c r="BI8" i="8"/>
  <c r="AH8" i="8"/>
  <c r="W8" i="8"/>
  <c r="E8" i="8"/>
  <c r="BQ7" i="8"/>
  <c r="BI7" i="8"/>
  <c r="AH7" i="8"/>
  <c r="W7" i="8"/>
  <c r="E7" i="8"/>
  <c r="F11" i="2"/>
  <c r="F10" i="2"/>
  <c r="F9" i="2"/>
  <c r="F8" i="2"/>
  <c r="BY64" i="2"/>
  <c r="BY63" i="2"/>
  <c r="BY62" i="2"/>
  <c r="BY61" i="2"/>
  <c r="BY60" i="2"/>
  <c r="BY59" i="2"/>
  <c r="BY58" i="2"/>
  <c r="BY57" i="2"/>
  <c r="BY56" i="2"/>
  <c r="BY55" i="2"/>
  <c r="BY54" i="2"/>
  <c r="BY53" i="2"/>
  <c r="BY52" i="2"/>
  <c r="BY51" i="2"/>
  <c r="BY50" i="2"/>
  <c r="BY49" i="2"/>
  <c r="BQ64" i="2"/>
  <c r="BQ63" i="2"/>
  <c r="BQ62" i="2"/>
  <c r="BQ61" i="2"/>
  <c r="BQ60" i="2"/>
  <c r="BQ59" i="2"/>
  <c r="BQ58" i="2"/>
  <c r="BQ57" i="2"/>
  <c r="BQ56" i="2"/>
  <c r="BQ55" i="2"/>
  <c r="BQ54" i="2"/>
  <c r="BQ53" i="2"/>
  <c r="BQ52" i="2"/>
  <c r="BQ51" i="2"/>
  <c r="BQ50" i="2"/>
  <c r="BQ49" i="2"/>
  <c r="AP64" i="2"/>
  <c r="AP50" i="2"/>
  <c r="AP51" i="2"/>
  <c r="AP52" i="2"/>
  <c r="AP53" i="2"/>
  <c r="AP54" i="2"/>
  <c r="AP55" i="2"/>
  <c r="AP56" i="2"/>
  <c r="AP57" i="2"/>
  <c r="AP58" i="2"/>
  <c r="AP59" i="2"/>
  <c r="AP60" i="2"/>
  <c r="AP61" i="2"/>
  <c r="AP62" i="2"/>
  <c r="AP63" i="2"/>
  <c r="AP49" i="2"/>
  <c r="AE50" i="2"/>
  <c r="AE51" i="2"/>
  <c r="AE52" i="2"/>
  <c r="AE53" i="2"/>
  <c r="AE54" i="2"/>
  <c r="AE55" i="2"/>
  <c r="AE56" i="2"/>
  <c r="AE57" i="2"/>
  <c r="AE58" i="2"/>
  <c r="AE59" i="2"/>
  <c r="AE60" i="2"/>
  <c r="AE61" i="2"/>
  <c r="AE62" i="2"/>
  <c r="AE63" i="2"/>
  <c r="AE64" i="2"/>
  <c r="AE49" i="2"/>
  <c r="F50" i="2"/>
  <c r="F49" i="2"/>
  <c r="BY24" i="2"/>
  <c r="BY23" i="2"/>
  <c r="BY22" i="2"/>
  <c r="BY21" i="2"/>
  <c r="BY20" i="2"/>
  <c r="BY19" i="2"/>
  <c r="BY18" i="2"/>
  <c r="BY17" i="2"/>
  <c r="BY16" i="2"/>
  <c r="BY15" i="2"/>
  <c r="BY14" i="2"/>
  <c r="BY13" i="2"/>
  <c r="BY12" i="2"/>
  <c r="BY11" i="2"/>
  <c r="BY10" i="2"/>
  <c r="BY9" i="2"/>
  <c r="BY8" i="2"/>
  <c r="BQ24" i="2"/>
  <c r="BQ23" i="2"/>
  <c r="BQ21" i="2"/>
  <c r="BQ20" i="2"/>
  <c r="BQ19" i="2"/>
  <c r="BQ18" i="2"/>
  <c r="BQ17" i="2"/>
  <c r="BQ16" i="2"/>
  <c r="BQ15" i="2"/>
  <c r="BQ14" i="2"/>
  <c r="BQ13" i="2"/>
  <c r="BQ12" i="2"/>
  <c r="BQ11" i="2"/>
  <c r="BQ10" i="2"/>
  <c r="BQ9" i="2"/>
  <c r="BQ8" i="2"/>
  <c r="AP9" i="2"/>
  <c r="AP10" i="2"/>
  <c r="AP11" i="2"/>
  <c r="AP13" i="2"/>
  <c r="AP14" i="2"/>
  <c r="AP15" i="2"/>
  <c r="AP16" i="2"/>
  <c r="AP17" i="2"/>
  <c r="AP18" i="2"/>
  <c r="AP19" i="2"/>
  <c r="AP20" i="2"/>
  <c r="AP21" i="2"/>
  <c r="AP22" i="2"/>
  <c r="AP23" i="2"/>
  <c r="AP24" i="2"/>
  <c r="AP8" i="2"/>
  <c r="AE9" i="2"/>
  <c r="AE10" i="2"/>
  <c r="AE11" i="2"/>
  <c r="AE12" i="2"/>
  <c r="AE13" i="2"/>
  <c r="AE14" i="2"/>
  <c r="AE15" i="2"/>
  <c r="AE16" i="2"/>
  <c r="AE17" i="2"/>
  <c r="AE18" i="2"/>
  <c r="AE19" i="2"/>
  <c r="AE20" i="2"/>
  <c r="AE21" i="2"/>
  <c r="AE22" i="2"/>
  <c r="AE23" i="2"/>
  <c r="AE24" i="2"/>
  <c r="AE8" i="2"/>
  <c r="F23" i="2"/>
  <c r="F22" i="2"/>
  <c r="F21" i="2"/>
  <c r="F20" i="2"/>
  <c r="F19" i="2"/>
  <c r="F18" i="2"/>
  <c r="F17" i="2"/>
  <c r="F16" i="2"/>
  <c r="F15" i="2"/>
  <c r="F14" i="2"/>
  <c r="F13" i="2"/>
  <c r="F12" i="2"/>
  <c r="H11" i="3" l="1"/>
  <c r="H21" i="3"/>
  <c r="H4" i="3"/>
  <c r="H9" i="3"/>
  <c r="H14" i="3"/>
  <c r="H40" i="3"/>
  <c r="H7" i="3"/>
  <c r="H13" i="3"/>
  <c r="H18" i="3"/>
  <c r="H25" i="3"/>
  <c r="H27" i="3"/>
  <c r="H23" i="3"/>
  <c r="H8" i="3"/>
  <c r="H39" i="3"/>
  <c r="H10" i="3"/>
  <c r="H17" i="3"/>
  <c r="H6" i="3"/>
  <c r="H15" i="3"/>
  <c r="H16" i="3"/>
  <c r="H1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tc={13F6866A-CD3B-C849-A887-8872C2FF5B20}</author>
  </authors>
  <commentList>
    <comment ref="B10" authorId="0" shapeId="0" xr:uid="{13F6866A-CD3B-C849-A887-8872C2FF5B20}">
      <text>
        <t>[Threaded comment]
Your version of Excel allows you to read this threaded comment; however, any edits to it will get removed if the file is opened in a newer version of Excel. Learn more: https://go.microsoft.com/fwlink/?linkid=870924
Comment:
    How much is good data?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tc={242B40EC-BA37-6641-BAC6-E0293E8F2BC6}</author>
    <author>tc={19151A7F-430E-4506-AE5F-C758DE7ED7EA}</author>
  </authors>
  <commentList>
    <comment ref="H20" authorId="0" shapeId="0" xr:uid="{242B40EC-BA37-6641-BAC6-E0293E8F2BC6}">
      <text>
        <t>[Threaded comment]
Your version of Excel allows you to read this threaded comment; however, any edits to it will get removed if the file is opened in a newer version of Excel. Learn more: https://go.microsoft.com/fwlink/?linkid=870924
Comment:
    Check email for age</t>
      </text>
    </comment>
    <comment ref="K40" authorId="1" shapeId="0" xr:uid="{19151A7F-430E-4506-AE5F-C758DE7ED7EA}">
      <text>
        <t>[Threaded comment]
Your version of Excel allows you to read this threaded comment; however, any edits to it will get removed if the file is opened in a newer version of Excel. Learn more: https://go.microsoft.com/fwlink/?linkid=870924
Comment:
    Request for demographic information email did not go through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tc={FE7073A2-42EA-004F-A60C-35FD052CC560}</author>
  </authors>
  <commentList>
    <comment ref="CA18" authorId="0" shapeId="0" xr:uid="{FE7073A2-42EA-004F-A60C-35FD052CC560}">
      <text>
        <t>[Threaded comment]
Your version of Excel allows you to read this threaded comment; however, any edits to it will get removed if the file is opened in a newer version of Excel. Learn more: https://go.microsoft.com/fwlink/?linkid=870924
Comment:
    Check if tinn eval was done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tc={DC32276B-62A3-0D4F-88CF-66CE59A01BAC}</author>
    <author>tc={A6F1649A-4389-E743-B2C5-DCA901D81998}</author>
    <author>tc={64397117-608E-C646-8E56-449BB7E8C1DA}</author>
    <author>tc={B054497D-635B-0E4E-8488-B6891969406C}</author>
    <author>tc={160C9941-159E-EF47-99B1-7E0E03CF76E9}</author>
    <author>tc={59DB35B2-D596-CD46-985C-10E761B69680}</author>
    <author>tc={A46BCECB-3D3C-704F-AFDC-3030BB26026D}</author>
    <author>tc={EC2B8361-7607-5E47-B473-F2767A83F298}</author>
    <author>tc={82E17108-5B81-7740-B16B-23D9A3CD8D19}</author>
    <author>tc={0C02355C-23BA-DC40-9C00-5745598B2CC8}</author>
    <author>tc={E267DA19-C353-7543-994C-ECF79CDA81F9}</author>
    <author>tc={F093055E-0268-7344-8032-FC2011F3E22E}</author>
    <author>tc={40E2182E-F325-C842-A847-B5E529F09166}</author>
    <author>tc={050864C5-623C-1644-B344-9C5655AC1231}</author>
    <author>tc={54F994FD-146A-6B4A-AD74-4B614059C935}</author>
    <author>tc={87A22339-D332-D647-B0C5-B4B4FD3C9642}</author>
    <author>tc={48138B4F-0824-2146-9A59-BD2F628FF7FD}</author>
    <author>tc={71A84217-EAAC-2C43-A748-959610F61E5F}</author>
    <author>tc={1DEE6BC4-A9C4-364D-A7A1-6668000F715B}</author>
    <author>tc={3498C37D-9E17-7F4E-8E7E-5CD369573D88}</author>
    <author>tc={B818C4B4-42D4-4847-B5C0-41853A788C06}</author>
    <author>tc={D5BE7C7D-43BC-3442-B5D0-EA5F5D57F269}</author>
    <author>tc={131E3693-8562-D847-AD37-B2D24CBFD4FF}</author>
    <author>tc={D4FB6603-1CE6-3D4C-B483-8A713FB4FF03}</author>
    <author>tc={344C87E9-713D-E943-AF3F-B33AE121AC6D}</author>
    <author>tc={1CC24155-D090-F545-B95A-D19AC5B577E7}</author>
    <author>tc={85E5187A-F078-6749-8547-D87110D353CE}</author>
    <author>tc={4A7C2327-1122-464D-82BF-6D08566E1CC0}</author>
    <author>tc={1570E86E-42F8-3143-8BE1-416F84A08ADB}</author>
    <author>tc={7D4C974E-200C-C54F-8958-F1715C9B66B7}</author>
    <author>tc={17D23BDC-3999-3048-ADD6-D6A111BDF59B}</author>
    <author>tc={8FCCFC74-47F2-164D-8729-50CDE3CC2E82}</author>
    <author>tc={98ED34C2-A408-9C4E-922B-11058970C873}</author>
    <author>tc={25BA4F65-36AA-1848-9930-8774D7DECE5C}</author>
    <author>tc={67FBE547-F89E-3C4F-9529-47141584D6D0}</author>
    <author>tc={7EBB21BD-F551-0D43-B864-9FF55EC13424}</author>
    <author>tc={B51470CF-4460-6B44-86A3-6F45ADC73FAA}</author>
    <author>tc={98856B16-84F4-684A-9BBA-F26E51D0E8D9}</author>
    <author>tc={A200AC2E-66D5-A949-8CAF-EE59CBDC05AF}</author>
    <author>tc={F6A6EB29-7224-7A4F-A24D-8D96667FC9DE}</author>
    <author>tc={35FBC40F-64FF-DC43-9F62-01EE354DD34A}</author>
    <author>tc={6431369D-7213-BF46-843B-86DB3C3DA003}</author>
    <author>tc={F09368A0-AEFD-8449-A67A-F3227BF4220C}</author>
    <author>tc={860F1589-54C2-7143-A043-2F36E938A443}</author>
    <author>tc={E416B2AB-F075-9B4D-AB7B-3F2F8FF7492D}</author>
    <author>tc={9CA5EC84-F814-6C4B-8C97-CB67008FCB34}</author>
    <author>tc={6A762E7F-31B8-6746-A5CB-F467FCDF0A93}</author>
    <author>tc={5D69C0A6-0FAB-BA42-8D68-A143F9CD7A3C}</author>
    <author>tc={30602D3B-C376-8148-ACED-CC6B1CA5BA30}</author>
  </authors>
  <commentList>
    <comment ref="AC3" authorId="0" shapeId="0" xr:uid="{DC32276B-62A3-0D4F-88CF-66CE59A01BAC}">
      <text>
        <t>[Threaded comment]
Your version of Excel allows you to read this threaded comment; however, any edits to it will get removed if the file is opened in a newer version of Excel. Learn more: https://go.microsoft.com/fwlink/?linkid=870924
Comment:
    Edit Later</t>
      </text>
    </comment>
    <comment ref="AE3" authorId="1" shapeId="0" xr:uid="{A6F1649A-4389-E743-B2C5-DCA901D81998}">
      <text>
        <t>[Threaded comment]
Your version of Excel allows you to read this threaded comment; however, any edits to it will get removed if the file is opened in a newer version of Excel. Learn more: https://go.microsoft.com/fwlink/?linkid=870924
Comment:
    Edit Later</t>
      </text>
    </comment>
    <comment ref="AI3" authorId="2" shapeId="0" xr:uid="{64397117-608E-C646-8E56-449BB7E8C1DA}">
      <text>
        <t>[Threaded comment]
Your version of Excel allows you to read this threaded comment; however, any edits to it will get removed if the file is opened in a newer version of Excel. Learn more: https://go.microsoft.com/fwlink/?linkid=870924
Comment:
    Edit Later</t>
      </text>
    </comment>
    <comment ref="AJ3" authorId="3" shapeId="0" xr:uid="{B054497D-635B-0E4E-8488-B6891969406C}">
      <text>
        <t>[Threaded comment]
Your version of Excel allows you to read this threaded comment; however, any edits to it will get removed if the file is opened in a newer version of Excel. Learn more: https://go.microsoft.com/fwlink/?linkid=870924
Comment:
    Edit Later</t>
      </text>
    </comment>
    <comment ref="AN3" authorId="4" shapeId="0" xr:uid="{160C9941-159E-EF47-99B1-7E0E03CF76E9}">
      <text>
        <t>[Threaded comment]
Your version of Excel allows you to read this threaded comment; however, any edits to it will get removed if the file is opened in a newer version of Excel. Learn more: https://go.microsoft.com/fwlink/?linkid=870924
Comment:
    Edit Later</t>
      </text>
    </comment>
    <comment ref="AO3" authorId="5" shapeId="0" xr:uid="{59DB35B2-D596-CD46-985C-10E761B69680}">
      <text>
        <t>[Threaded comment]
Your version of Excel allows you to read this threaded comment; however, any edits to it will get removed if the file is opened in a newer version of Excel. Learn more: https://go.microsoft.com/fwlink/?linkid=870924
Comment:
    Edit Later</t>
      </text>
    </comment>
    <comment ref="AS3" authorId="6" shapeId="0" xr:uid="{A46BCECB-3D3C-704F-AFDC-3030BB26026D}">
      <text>
        <t>[Threaded comment]
Your version of Excel allows you to read this threaded comment; however, any edits to it will get removed if the file is opened in a newer version of Excel. Learn more: https://go.microsoft.com/fwlink/?linkid=870924
Comment:
    Edit Later</t>
      </text>
    </comment>
    <comment ref="AT3" authorId="7" shapeId="0" xr:uid="{EC2B8361-7607-5E47-B473-F2767A83F298}">
      <text>
        <t>[Threaded comment]
Your version of Excel allows you to read this threaded comment; however, any edits to it will get removed if the file is opened in a newer version of Excel. Learn more: https://go.microsoft.com/fwlink/?linkid=870924
Comment:
    Edit Later</t>
      </text>
    </comment>
    <comment ref="AW3" authorId="8" shapeId="0" xr:uid="{82E17108-5B81-7740-B16B-23D9A3CD8D19}">
      <text>
        <t>[Threaded comment]
Your version of Excel allows you to read this threaded comment; however, any edits to it will get removed if the file is opened in a newer version of Excel. Learn more: https://go.microsoft.com/fwlink/?linkid=870924
Comment:
    Edit Later</t>
      </text>
    </comment>
    <comment ref="AY3" authorId="9" shapeId="0" xr:uid="{0C02355C-23BA-DC40-9C00-5745598B2CC8}">
      <text>
        <t>[Threaded comment]
Your version of Excel allows you to read this threaded comment; however, any edits to it will get removed if the file is opened in a newer version of Excel. Learn more: https://go.microsoft.com/fwlink/?linkid=870924
Comment:
    Edit Later</t>
      </text>
    </comment>
    <comment ref="BC3" authorId="10" shapeId="0" xr:uid="{E267DA19-C353-7543-994C-ECF79CDA81F9}">
      <text>
        <t>[Threaded comment]
Your version of Excel allows you to read this threaded comment; however, any edits to it will get removed if the file is opened in a newer version of Excel. Learn more: https://go.microsoft.com/fwlink/?linkid=870924
Comment:
    Edit Later</t>
      </text>
    </comment>
    <comment ref="BD3" authorId="11" shapeId="0" xr:uid="{F093055E-0268-7344-8032-FC2011F3E22E}">
      <text>
        <t>[Threaded comment]
Your version of Excel allows you to read this threaded comment; however, any edits to it will get removed if the file is opened in a newer version of Excel. Learn more: https://go.microsoft.com/fwlink/?linkid=870924
Comment:
    Edit Later</t>
      </text>
    </comment>
    <comment ref="BH3" authorId="12" shapeId="0" xr:uid="{40E2182E-F325-C842-A847-B5E529F09166}">
      <text>
        <t>[Threaded comment]
Your version of Excel allows you to read this threaded comment; however, any edits to it will get removed if the file is opened in a newer version of Excel. Learn more: https://go.microsoft.com/fwlink/?linkid=870924
Comment:
    Edit Later</t>
      </text>
    </comment>
    <comment ref="BI3" authorId="13" shapeId="0" xr:uid="{050864C5-623C-1644-B344-9C5655AC1231}">
      <text>
        <t>[Threaded comment]
Your version of Excel allows you to read this threaded comment; however, any edits to it will get removed if the file is opened in a newer version of Excel. Learn more: https://go.microsoft.com/fwlink/?linkid=870924
Comment:
    Edit Later</t>
      </text>
    </comment>
    <comment ref="BM3" authorId="14" shapeId="0" xr:uid="{54F994FD-146A-6B4A-AD74-4B614059C935}">
      <text>
        <t>[Threaded comment]
Your version of Excel allows you to read this threaded comment; however, any edits to it will get removed if the file is opened in a newer version of Excel. Learn more: https://go.microsoft.com/fwlink/?linkid=870924
Comment:
    Edit Later</t>
      </text>
    </comment>
    <comment ref="BN3" authorId="15" shapeId="0" xr:uid="{87A22339-D332-D647-B0C5-B4B4FD3C9642}">
      <text>
        <t>[Threaded comment]
Your version of Excel allows you to read this threaded comment; however, any edits to it will get removed if the file is opened in a newer version of Excel. Learn more: https://go.microsoft.com/fwlink/?linkid=870924
Comment:
    Edit Later</t>
      </text>
    </comment>
    <comment ref="H26" authorId="16" shapeId="0" xr:uid="{48138B4F-0824-2146-9A59-BD2F628FF7FD}">
      <text>
        <t>[Threaded comment]
Your version of Excel allows you to read this threaded comment; however, any edits to it will get removed if the file is opened in a newer version of Excel. Learn more: https://go.microsoft.com/fwlink/?linkid=870924
Comment:
    Add info about the sub scales</t>
      </text>
    </comment>
    <comment ref="R26" authorId="17" shapeId="0" xr:uid="{71A84217-EAAC-2C43-A748-959610F61E5F}">
      <text>
        <t>[Threaded comment]
Your version of Excel allows you to read this threaded comment; however, any edits to it will get removed if the file is opened in a newer version of Excel. Learn more: https://go.microsoft.com/fwlink/?linkid=870924
Comment:
    Add info about the sections</t>
      </text>
    </comment>
    <comment ref="S27" authorId="18" shapeId="0" xr:uid="{1DEE6BC4-A9C4-364D-A7A1-6668000F715B}">
      <text>
        <t>[Threaded comment]
Your version of Excel allows you to read this threaded comment; however, any edits to it will get removed if the file is opened in a newer version of Excel. Learn more: https://go.microsoft.com/fwlink/?linkid=870924
Comment:
    Verify what number it’s considered outside of normal limits</t>
      </text>
    </comment>
    <comment ref="AC27" authorId="19" shapeId="0" xr:uid="{3498C37D-9E17-7F4E-8E7E-5CD369573D88}">
      <text>
        <t>[Threaded comment]
Your version of Excel allows you to read this threaded comment; however, any edits to it will get removed if the file is opened in a newer version of Excel. Learn more: https://go.microsoft.com/fwlink/?linkid=870924
Comment:
    Edit Later</t>
      </text>
    </comment>
    <comment ref="AE27" authorId="20" shapeId="0" xr:uid="{B818C4B4-42D4-4847-B5C0-41853A788C06}">
      <text>
        <t>[Threaded comment]
Your version of Excel allows you to read this threaded comment; however, any edits to it will get removed if the file is opened in a newer version of Excel. Learn more: https://go.microsoft.com/fwlink/?linkid=870924
Comment:
    Edit Later</t>
      </text>
    </comment>
    <comment ref="AI27" authorId="21" shapeId="0" xr:uid="{D5BE7C7D-43BC-3442-B5D0-EA5F5D57F269}">
      <text>
        <t>[Threaded comment]
Your version of Excel allows you to read this threaded comment; however, any edits to it will get removed if the file is opened in a newer version of Excel. Learn more: https://go.microsoft.com/fwlink/?linkid=870924
Comment:
    Edit Later</t>
      </text>
    </comment>
    <comment ref="AJ27" authorId="22" shapeId="0" xr:uid="{131E3693-8562-D847-AD37-B2D24CBFD4FF}">
      <text>
        <t>[Threaded comment]
Your version of Excel allows you to read this threaded comment; however, any edits to it will get removed if the file is opened in a newer version of Excel. Learn more: https://go.microsoft.com/fwlink/?linkid=870924
Comment:
    Edit Later</t>
      </text>
    </comment>
    <comment ref="AN27" authorId="23" shapeId="0" xr:uid="{D4FB6603-1CE6-3D4C-B483-8A713FB4FF03}">
      <text>
        <t>[Threaded comment]
Your version of Excel allows you to read this threaded comment; however, any edits to it will get removed if the file is opened in a newer version of Excel. Learn more: https://go.microsoft.com/fwlink/?linkid=870924
Comment:
    Edit Later</t>
      </text>
    </comment>
    <comment ref="AO27" authorId="24" shapeId="0" xr:uid="{344C87E9-713D-E943-AF3F-B33AE121AC6D}">
      <text>
        <t>[Threaded comment]
Your version of Excel allows you to read this threaded comment; however, any edits to it will get removed if the file is opened in a newer version of Excel. Learn more: https://go.microsoft.com/fwlink/?linkid=870924
Comment:
    Edit Later</t>
      </text>
    </comment>
    <comment ref="AS27" authorId="25" shapeId="0" xr:uid="{1CC24155-D090-F545-B95A-D19AC5B577E7}">
      <text>
        <t>[Threaded comment]
Your version of Excel allows you to read this threaded comment; however, any edits to it will get removed if the file is opened in a newer version of Excel. Learn more: https://go.microsoft.com/fwlink/?linkid=870924
Comment:
    Edit Later</t>
      </text>
    </comment>
    <comment ref="AT27" authorId="26" shapeId="0" xr:uid="{85E5187A-F078-6749-8547-D87110D353CE}">
      <text>
        <t>[Threaded comment]
Your version of Excel allows you to read this threaded comment; however, any edits to it will get removed if the file is opened in a newer version of Excel. Learn more: https://go.microsoft.com/fwlink/?linkid=870924
Comment:
    Edit Later</t>
      </text>
    </comment>
    <comment ref="AW27" authorId="27" shapeId="0" xr:uid="{4A7C2327-1122-464D-82BF-6D08566E1CC0}">
      <text>
        <t>[Threaded comment]
Your version of Excel allows you to read this threaded comment; however, any edits to it will get removed if the file is opened in a newer version of Excel. Learn more: https://go.microsoft.com/fwlink/?linkid=870924
Comment:
    Edit Later</t>
      </text>
    </comment>
    <comment ref="AY27" authorId="28" shapeId="0" xr:uid="{1570E86E-42F8-3143-8BE1-416F84A08ADB}">
      <text>
        <t>[Threaded comment]
Your version of Excel allows you to read this threaded comment; however, any edits to it will get removed if the file is opened in a newer version of Excel. Learn more: https://go.microsoft.com/fwlink/?linkid=870924
Comment:
    Edit Later</t>
      </text>
    </comment>
    <comment ref="BC27" authorId="29" shapeId="0" xr:uid="{7D4C974E-200C-C54F-8958-F1715C9B66B7}">
      <text>
        <t>[Threaded comment]
Your version of Excel allows you to read this threaded comment; however, any edits to it will get removed if the file is opened in a newer version of Excel. Learn more: https://go.microsoft.com/fwlink/?linkid=870924
Comment:
    Edit Later</t>
      </text>
    </comment>
    <comment ref="BD27" authorId="30" shapeId="0" xr:uid="{17D23BDC-3999-3048-ADD6-D6A111BDF59B}">
      <text>
        <t>[Threaded comment]
Your version of Excel allows you to read this threaded comment; however, any edits to it will get removed if the file is opened in a newer version of Excel. Learn more: https://go.microsoft.com/fwlink/?linkid=870924
Comment:
    Edit Later</t>
      </text>
    </comment>
    <comment ref="BH27" authorId="31" shapeId="0" xr:uid="{8FCCFC74-47F2-164D-8729-50CDE3CC2E82}">
      <text>
        <t>[Threaded comment]
Your version of Excel allows you to read this threaded comment; however, any edits to it will get removed if the file is opened in a newer version of Excel. Learn more: https://go.microsoft.com/fwlink/?linkid=870924
Comment:
    Edit Later</t>
      </text>
    </comment>
    <comment ref="BI27" authorId="32" shapeId="0" xr:uid="{98ED34C2-A408-9C4E-922B-11058970C873}">
      <text>
        <t>[Threaded comment]
Your version of Excel allows you to read this threaded comment; however, any edits to it will get removed if the file is opened in a newer version of Excel. Learn more: https://go.microsoft.com/fwlink/?linkid=870924
Comment:
    Edit Later</t>
      </text>
    </comment>
    <comment ref="BM27" authorId="33" shapeId="0" xr:uid="{25BA4F65-36AA-1848-9930-8774D7DECE5C}">
      <text>
        <t>[Threaded comment]
Your version of Excel allows you to read this threaded comment; however, any edits to it will get removed if the file is opened in a newer version of Excel. Learn more: https://go.microsoft.com/fwlink/?linkid=870924
Comment:
    Edit Later</t>
      </text>
    </comment>
    <comment ref="BN27" authorId="34" shapeId="0" xr:uid="{67FBE547-F89E-3C4F-9529-47141584D6D0}">
      <text>
        <t>[Threaded comment]
Your version of Excel allows you to read this threaded comment; however, any edits to it will get removed if the file is opened in a newer version of Excel. Learn more: https://go.microsoft.com/fwlink/?linkid=870924
Comment:
    Edit Later</t>
      </text>
    </comment>
    <comment ref="F38" authorId="35" shapeId="0" xr:uid="{7EBB21BD-F551-0D43-B864-9FF55EC13424}">
      <text>
        <t>[Threaded comment]
Your version of Excel allows you to read this threaded comment; however, any edits to it will get removed if the file is opened in a newer version of Excel. Learn more: https://go.microsoft.com/fwlink/?linkid=870924
Comment:
    Re-tested on 7/21/25</t>
      </text>
    </comment>
    <comment ref="T38" authorId="36" shapeId="0" xr:uid="{B51470CF-4460-6B44-86A3-6F45ADC73FAA}">
      <text>
        <t>[Threaded comment]
Your version of Excel allows you to read this threaded comment; however, any edits to it will get removed if the file is opened in a newer version of Excel. Learn more: https://go.microsoft.com/fwlink/?linkid=870924
Comment:
    Reviewed on 7/21/25 and changed from a 5 to a 6</t>
      </text>
    </comment>
    <comment ref="F56" authorId="37" shapeId="0" xr:uid="{98856B16-84F4-684A-9BBA-F26E51D0E8D9}">
      <text>
        <t>[Threaded comment]
Your version of Excel allows you to read this threaded comment; however, any edits to it will get removed if the file is opened in a newer version of Excel. Learn more: https://go.microsoft.com/fwlink/?linkid=870924
Comment:
    Severities</t>
      </text>
    </comment>
    <comment ref="AC57" authorId="38" shapeId="0" xr:uid="{A200AC2E-66D5-A949-8CAF-EE59CBDC05AF}">
      <text>
        <t>[Threaded comment]
Your version of Excel allows you to read this threaded comment; however, any edits to it will get removed if the file is opened in a newer version of Excel. Learn more: https://go.microsoft.com/fwlink/?linkid=870924
Comment:
    Edit Later</t>
      </text>
    </comment>
    <comment ref="AE57" authorId="39" shapeId="0" xr:uid="{F6A6EB29-7224-7A4F-A24D-8D96667FC9DE}">
      <text>
        <t>[Threaded comment]
Your version of Excel allows you to read this threaded comment; however, any edits to it will get removed if the file is opened in a newer version of Excel. Learn more: https://go.microsoft.com/fwlink/?linkid=870924
Comment:
    Edit Later</t>
      </text>
    </comment>
    <comment ref="AI57" authorId="40" shapeId="0" xr:uid="{35FBC40F-64FF-DC43-9F62-01EE354DD34A}">
      <text>
        <t>[Threaded comment]
Your version of Excel allows you to read this threaded comment; however, any edits to it will get removed if the file is opened in a newer version of Excel. Learn more: https://go.microsoft.com/fwlink/?linkid=870924
Comment:
    Edit Later</t>
      </text>
    </comment>
    <comment ref="AJ57" authorId="41" shapeId="0" xr:uid="{6431369D-7213-BF46-843B-86DB3C3DA003}">
      <text>
        <t>[Threaded comment]
Your version of Excel allows you to read this threaded comment; however, any edits to it will get removed if the file is opened in a newer version of Excel. Learn more: https://go.microsoft.com/fwlink/?linkid=870924
Comment:
    Edit Later</t>
      </text>
    </comment>
    <comment ref="AN57" authorId="42" shapeId="0" xr:uid="{F09368A0-AEFD-8449-A67A-F3227BF4220C}">
      <text>
        <t>[Threaded comment]
Your version of Excel allows you to read this threaded comment; however, any edits to it will get removed if the file is opened in a newer version of Excel. Learn more: https://go.microsoft.com/fwlink/?linkid=870924
Comment:
    Edit Later</t>
      </text>
    </comment>
    <comment ref="AO57" authorId="43" shapeId="0" xr:uid="{860F1589-54C2-7143-A043-2F36E938A443}">
      <text>
        <t>[Threaded comment]
Your version of Excel allows you to read this threaded comment; however, any edits to it will get removed if the file is opened in a newer version of Excel. Learn more: https://go.microsoft.com/fwlink/?linkid=870924
Comment:
    Edit Later</t>
      </text>
    </comment>
    <comment ref="AS57" authorId="44" shapeId="0" xr:uid="{E416B2AB-F075-9B4D-AB7B-3F2F8FF7492D}">
      <text>
        <t>[Threaded comment]
Your version of Excel allows you to read this threaded comment; however, any edits to it will get removed if the file is opened in a newer version of Excel. Learn more: https://go.microsoft.com/fwlink/?linkid=870924
Comment:
    Edit Later</t>
      </text>
    </comment>
    <comment ref="AT57" authorId="45" shapeId="0" xr:uid="{9CA5EC84-F814-6C4B-8C97-CB67008FCB34}">
      <text>
        <t>[Threaded comment]
Your version of Excel allows you to read this threaded comment; however, any edits to it will get removed if the file is opened in a newer version of Excel. Learn more: https://go.microsoft.com/fwlink/?linkid=870924
Comment:
    Edit Later</t>
      </text>
    </comment>
    <comment ref="AW57" authorId="46" shapeId="0" xr:uid="{6A762E7F-31B8-6746-A5CB-F467FCDF0A93}">
      <text>
        <t>[Threaded comment]
Your version of Excel allows you to read this threaded comment; however, any edits to it will get removed if the file is opened in a newer version of Excel. Learn more: https://go.microsoft.com/fwlink/?linkid=870924
Comment:
    Edit Later</t>
      </text>
    </comment>
    <comment ref="AY57" authorId="47" shapeId="0" xr:uid="{5D69C0A6-0FAB-BA42-8D68-A143F9CD7A3C}">
      <text>
        <t>[Threaded comment]
Your version of Excel allows you to read this threaded comment; however, any edits to it will get removed if the file is opened in a newer version of Excel. Learn more: https://go.microsoft.com/fwlink/?linkid=870924
Comment:
    Edit Later</t>
      </text>
    </comment>
    <comment ref="F62" authorId="48" shapeId="0" xr:uid="{30602D3B-C376-8148-ACED-CC6B1CA5BA30}">
      <text>
        <t>[Threaded comment]
Your version of Excel allows you to read this threaded comment; however, any edits to it will get removed if the file is opened in a newer version of Excel. Learn more: https://go.microsoft.com/fwlink/?linkid=870924
Comment:
    Severities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tc={34ACED29-CE87-43BB-8E93-D0A6A8A32C92}</author>
    <author>tc={8E656DCE-3845-40E9-8447-70CD3DE13403}</author>
    <author>tc={313A6A7D-0717-41B1-9D1D-09C78E1252C5}</author>
    <author>tc={B2983D42-6A02-43B6-AE42-DB6D922BF49E}</author>
    <author>tc={A8145728-725D-4235-97E9-F3DA33244C08}</author>
    <author>tc={A04FF3AA-CEBE-453F-B156-299AEE668D01}</author>
    <author>tc={52478955-F0BF-4BB4-A0E8-392215E003DD}</author>
  </authors>
  <commentList>
    <comment ref="D14" authorId="0" shapeId="0" xr:uid="{34ACED29-CE87-43BB-8E93-D0A6A8A32C92}">
      <text>
        <t>[Threaded comment]
Your version of Excel allows you to read this threaded comment; however, any edits to it will get removed if the file is opened in a newer version of Excel. Learn more: https://go.microsoft.com/fwlink/?linkid=870924
Comment:
    Re-tested on 7/21/25</t>
      </text>
    </comment>
    <comment ref="M14" authorId="1" shapeId="0" xr:uid="{8E656DCE-3845-40E9-8447-70CD3DE13403}">
      <text>
        <t>[Threaded comment]
Your version of Excel allows you to read this threaded comment; however, any edits to it will get removed if the file is opened in a newer version of Excel. Learn more: https://go.microsoft.com/fwlink/?linkid=870924
Comment:
    Re-tested on 7/21/25</t>
      </text>
    </comment>
    <comment ref="AA14" authorId="2" shapeId="0" xr:uid="{313A6A7D-0717-41B1-9D1D-09C78E1252C5}">
      <text>
        <t>[Threaded comment]
Your version of Excel allows you to read this threaded comment; however, any edits to it will get removed if the file is opened in a newer version of Excel. Learn more: https://go.microsoft.com/fwlink/?linkid=870924
Comment:
    Reviewed on 7/21/25 and changed from a 5 to a 6</t>
      </text>
    </comment>
    <comment ref="O43" authorId="3" shapeId="0" xr:uid="{B2983D42-6A02-43B6-AE42-DB6D922BF49E}">
      <text>
        <t>[Threaded comment]
Your version of Excel allows you to read this threaded comment; however, any edits to it will get removed if the file is opened in a newer version of Excel. Learn more: https://go.microsoft.com/fwlink/?linkid=870924
Comment:
    Add info about the sub scales</t>
      </text>
    </comment>
    <comment ref="Y43" authorId="4" shapeId="0" xr:uid="{A8145728-725D-4235-97E9-F3DA33244C08}">
      <text>
        <t>[Threaded comment]
Your version of Excel allows you to read this threaded comment; however, any edits to it will get removed if the file is opened in a newer version of Excel. Learn more: https://go.microsoft.com/fwlink/?linkid=870924
Comment:
    Add info about the sections</t>
      </text>
    </comment>
    <comment ref="M74" authorId="5" shapeId="0" xr:uid="{A04FF3AA-CEBE-453F-B156-299AEE668D01}">
      <text>
        <t>[Threaded comment]
Your version of Excel allows you to read this threaded comment; however, any edits to it will get removed if the file is opened in a newer version of Excel. Learn more: https://go.microsoft.com/fwlink/?linkid=870924
Comment:
    Severities</t>
      </text>
    </comment>
    <comment ref="M81" authorId="6" shapeId="0" xr:uid="{52478955-F0BF-4BB4-A0E8-392215E003DD}">
      <text>
        <t>[Threaded comment]
Your version of Excel allows you to read this threaded comment; however, any edits to it will get removed if the file is opened in a newer version of Excel. Learn more: https://go.microsoft.com/fwlink/?linkid=870924
Comment:
    Severities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tc={B41CF766-1333-4954-BA48-31FCC59DBF0F}</author>
    <author>tc={A619FF7A-9B8A-4745-AD5E-65D3538617B0}</author>
    <author>tc={3A61FBF6-D6E6-440B-8E13-BD0A3B4F653D}</author>
    <author>tc={450875CE-7E5D-4E49-AB62-20E135F63642}</author>
    <author>tc={1C688E3E-25F3-4290-B518-5BC67CDB31E7}</author>
  </authors>
  <commentList>
    <comment ref="N13" authorId="0" shapeId="0" xr:uid="{B41CF766-1333-4954-BA48-31FCC59DBF0F}">
      <text>
        <t>[Threaded comment]
Your version of Excel allows you to read this threaded comment; however, any edits to it will get removed if the file is opened in a newer version of Excel. Learn more: https://go.microsoft.com/fwlink/?linkid=870924
Comment:
    Add info about the sub scales</t>
      </text>
    </comment>
    <comment ref="X13" authorId="1" shapeId="0" xr:uid="{A619FF7A-9B8A-4745-AD5E-65D3538617B0}">
      <text>
        <t>[Threaded comment]
Your version of Excel allows you to read this threaded comment; however, any edits to it will get removed if the file is opened in a newer version of Excel. Learn more: https://go.microsoft.com/fwlink/?linkid=870924
Comment:
    Add info about the sections</t>
      </text>
    </comment>
    <comment ref="Y14" authorId="2" shapeId="0" xr:uid="{3A61FBF6-D6E6-440B-8E13-BD0A3B4F653D}">
      <text>
        <t>[Threaded comment]
Your version of Excel allows you to read this threaded comment; however, any edits to it will get removed if the file is opened in a newer version of Excel. Learn more: https://go.microsoft.com/fwlink/?linkid=870924
Comment:
    Verify what number it’s considered outside of normal limits</t>
      </text>
    </comment>
    <comment ref="L26" authorId="3" shapeId="0" xr:uid="{450875CE-7E5D-4E49-AB62-20E135F63642}">
      <text>
        <t>[Threaded comment]
Your version of Excel allows you to read this threaded comment; however, any edits to it will get removed if the file is opened in a newer version of Excel. Learn more: https://go.microsoft.com/fwlink/?linkid=870924
Comment:
    Severities</t>
      </text>
    </comment>
    <comment ref="L33" authorId="4" shapeId="0" xr:uid="{1C688E3E-25F3-4290-B518-5BC67CDB31E7}">
      <text>
        <t>[Threaded comment]
Your version of Excel allows you to read this threaded comment; however, any edits to it will get removed if the file is opened in a newer version of Excel. Learn more: https://go.microsoft.com/fwlink/?linkid=870924
Comment:
    Severities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tc={F416C44D-49B3-4ADD-8874-03EB8B96BF2B}</author>
    <author>tc={E52C99EA-BF0B-E940-8E68-9D9C98A30A15}</author>
  </authors>
  <commentList>
    <comment ref="A8" authorId="0" shapeId="0" xr:uid="{F416C44D-49B3-4ADD-8874-03EB8B96BF2B}">
      <text>
        <t>[Threaded comment]
Your version of Excel allows you to read this threaded comment; however, any edits to it will get removed if the file is opened in a newer version of Excel. Learn more: https://go.microsoft.com/fwlink/?linkid=870924
Comment:
    Put data on Phone excel</t>
      </text>
    </comment>
    <comment ref="A9" authorId="1" shapeId="0" xr:uid="{E52C99EA-BF0B-E940-8E68-9D9C98A30A15}">
      <text>
        <t>[Threaded comment]
Your version of Excel allows you to read this threaded comment; however, any edits to it will get removed if the file is opened in a newer version of Excel. Learn more: https://go.microsoft.com/fwlink/?linkid=870924
Comment:
    Need to put this data in the Phone excel file
Reply:
    Need initial questionnaire data to put in phone excel file</t>
      </text>
    </comment>
  </commentList>
</comments>
</file>

<file path=xl/sharedStrings.xml><?xml version="1.0" encoding="utf-8"?>
<sst xmlns="http://schemas.openxmlformats.org/spreadsheetml/2006/main" count="3850" uniqueCount="674">
  <si>
    <t>Note: Total amount to be included here will be the participants who have completed the hearing eval and the PC assessment</t>
  </si>
  <si>
    <t>Overall Group Summary</t>
  </si>
  <si>
    <t>Tinnitus Group</t>
  </si>
  <si>
    <t>Hyperacusis Group</t>
  </si>
  <si>
    <t>Misophonia Group</t>
  </si>
  <si>
    <t>Hearing Loss Group</t>
  </si>
  <si>
    <t>Condition</t>
  </si>
  <si>
    <t>Total</t>
  </si>
  <si>
    <t>Total Tested Participants (EEG)</t>
  </si>
  <si>
    <t>Control</t>
  </si>
  <si>
    <t>Tinnitus</t>
  </si>
  <si>
    <t>Hyperacusis</t>
  </si>
  <si>
    <t>Misophonia</t>
  </si>
  <si>
    <t>Hearing Loss</t>
  </si>
  <si>
    <t>Experimental</t>
  </si>
  <si>
    <t>Tinnitus &amp; hyperacusis</t>
  </si>
  <si>
    <t>Hyperacusis &amp; misophonia</t>
  </si>
  <si>
    <t>Hearing Loss &amp; Tinnitus</t>
  </si>
  <si>
    <t>Included Partcipants</t>
  </si>
  <si>
    <t>Tinnitus, hyperacusis, and misophonia</t>
  </si>
  <si>
    <t>Tinnitus &amp; misophonia</t>
  </si>
  <si>
    <t>Hearing Loss &amp; hyperacusis</t>
  </si>
  <si>
    <t>Exc;ided participants</t>
  </si>
  <si>
    <t>Hearing Loss, tinnitus &amp; hyperacusis</t>
  </si>
  <si>
    <t>Data Quality Summary</t>
  </si>
  <si>
    <t>Hearing Loss, tinnitus, hyperacusis &amp; misophonia</t>
  </si>
  <si>
    <t>Total exp</t>
  </si>
  <si>
    <t>Good Pupillometry</t>
  </si>
  <si>
    <t>Total Tested Participants (Pupillometry)</t>
  </si>
  <si>
    <t>Good EEG</t>
  </si>
  <si>
    <t>Bad Pupillometry</t>
  </si>
  <si>
    <t>Bad EEG</t>
  </si>
  <si>
    <t>How much of the Pupillometry can we use</t>
  </si>
  <si>
    <t>substract good minus bad</t>
  </si>
  <si>
    <t>How much of the EEG can we use</t>
  </si>
  <si>
    <t>Excluded participants</t>
  </si>
  <si>
    <t>Excluded</t>
  </si>
  <si>
    <t>Reason</t>
  </si>
  <si>
    <t>Do they qualify for phone?</t>
  </si>
  <si>
    <t>4H</t>
  </si>
  <si>
    <t>Hx of cataract in left eye and later developed lazy eye (eyelid did not open enough during preparation step). Severe vision loss in the right eye.</t>
  </si>
  <si>
    <t>No</t>
  </si>
  <si>
    <t>28 Pup</t>
  </si>
  <si>
    <t>Hearing loss above inclusion criteria (PTA worse than 45 dB HL)</t>
  </si>
  <si>
    <t>EXP17</t>
  </si>
  <si>
    <t>Severe astigmatism. Could not make out instructions in the screen</t>
  </si>
  <si>
    <t>Yes</t>
  </si>
  <si>
    <t>EXP19</t>
  </si>
  <si>
    <t>Glaucoma</t>
  </si>
  <si>
    <t>CTRL19</t>
  </si>
  <si>
    <t>Severe visual condition. Could not make out the instructions in the screen.</t>
  </si>
  <si>
    <t xml:space="preserve">EXP20 </t>
  </si>
  <si>
    <t>MoCA = 21</t>
  </si>
  <si>
    <t>49 Pup</t>
  </si>
  <si>
    <t>Blood on the ear canal</t>
  </si>
  <si>
    <t>Audio ID</t>
  </si>
  <si>
    <t>EXP01</t>
  </si>
  <si>
    <t>07 Pup</t>
  </si>
  <si>
    <t>08 Pup</t>
  </si>
  <si>
    <t>15 Pup</t>
  </si>
  <si>
    <t>12 Pup</t>
  </si>
  <si>
    <t>16 Pup</t>
  </si>
  <si>
    <t>14H</t>
  </si>
  <si>
    <t>21 Pup</t>
  </si>
  <si>
    <t>19 Pup</t>
  </si>
  <si>
    <t>1H</t>
  </si>
  <si>
    <t>11H</t>
  </si>
  <si>
    <t>26 Pup</t>
  </si>
  <si>
    <t>30 Pup</t>
  </si>
  <si>
    <t>31 Pup</t>
  </si>
  <si>
    <t>33 Pup</t>
  </si>
  <si>
    <t>34 Pup</t>
  </si>
  <si>
    <t>37 Pup</t>
  </si>
  <si>
    <t>44 Pup</t>
  </si>
  <si>
    <t>42 Pup</t>
  </si>
  <si>
    <t>43 Pup</t>
  </si>
  <si>
    <t>47 Pup</t>
  </si>
  <si>
    <t>48 Pup</t>
  </si>
  <si>
    <t>52 Pup</t>
  </si>
  <si>
    <t>53 Pup</t>
  </si>
  <si>
    <t>55 Pup</t>
  </si>
  <si>
    <t>56 Pup</t>
  </si>
  <si>
    <t>Group ID</t>
  </si>
  <si>
    <t>EXP02</t>
  </si>
  <si>
    <t>EXP03</t>
  </si>
  <si>
    <t>EXP04</t>
  </si>
  <si>
    <t>EXP05</t>
  </si>
  <si>
    <t>EXP06</t>
  </si>
  <si>
    <t>EXP07</t>
  </si>
  <si>
    <t>EXP08</t>
  </si>
  <si>
    <t>EXP09</t>
  </si>
  <si>
    <t>EXP10</t>
  </si>
  <si>
    <t>EXP11</t>
  </si>
  <si>
    <t>EXP12</t>
  </si>
  <si>
    <t>EXP13</t>
  </si>
  <si>
    <t>EXP14</t>
  </si>
  <si>
    <t>EXP15</t>
  </si>
  <si>
    <t>EXP16</t>
  </si>
  <si>
    <t>EXP18</t>
  </si>
  <si>
    <t>EXP21</t>
  </si>
  <si>
    <t>EXP22</t>
  </si>
  <si>
    <t>EXP23</t>
  </si>
  <si>
    <t>EXP25</t>
  </si>
  <si>
    <t>EXP26</t>
  </si>
  <si>
    <t>EXP28</t>
  </si>
  <si>
    <t>EXP29</t>
  </si>
  <si>
    <t>EXP31</t>
  </si>
  <si>
    <t>EXP32</t>
  </si>
  <si>
    <t>PC ID</t>
  </si>
  <si>
    <t>Conditions</t>
  </si>
  <si>
    <t>Hearing Condition</t>
  </si>
  <si>
    <t>Normal</t>
  </si>
  <si>
    <t>High Frequency Hearing Loss</t>
  </si>
  <si>
    <t>Assessments</t>
  </si>
  <si>
    <t>Otoscopy</t>
  </si>
  <si>
    <t>Immittance</t>
  </si>
  <si>
    <t>BASEV</t>
  </si>
  <si>
    <t>HF PT Audio</t>
  </si>
  <si>
    <t>Tinnitus Eval</t>
  </si>
  <si>
    <t>LDLs</t>
  </si>
  <si>
    <t>Pupillometry</t>
  </si>
  <si>
    <t>Questionnaires</t>
  </si>
  <si>
    <t>THI</t>
  </si>
  <si>
    <t>IOWA Tinnitus</t>
  </si>
  <si>
    <t>MoCA</t>
  </si>
  <si>
    <t>GAD</t>
  </si>
  <si>
    <t>HQ</t>
  </si>
  <si>
    <t>Misophonia Questionaire</t>
  </si>
  <si>
    <t>Emotions Questionnaire Pre-test</t>
  </si>
  <si>
    <t>Emotions Questionnaire Post-test</t>
  </si>
  <si>
    <t>CTRL01</t>
  </si>
  <si>
    <t>02 Pup</t>
  </si>
  <si>
    <t>03 Pup</t>
  </si>
  <si>
    <t>09 Pup</t>
  </si>
  <si>
    <t>11 Pup</t>
  </si>
  <si>
    <t>13 Pup</t>
  </si>
  <si>
    <t>CTRL09</t>
  </si>
  <si>
    <t>22 Pup</t>
  </si>
  <si>
    <t>23 Pup</t>
  </si>
  <si>
    <t>24 Pup</t>
  </si>
  <si>
    <t>25 Pup</t>
  </si>
  <si>
    <t>27 Pup</t>
  </si>
  <si>
    <t>20 Pup</t>
  </si>
  <si>
    <t>29 Pup</t>
  </si>
  <si>
    <t>32 Pup</t>
  </si>
  <si>
    <t>39 Pup</t>
  </si>
  <si>
    <t>51 Pup</t>
  </si>
  <si>
    <t>54 Pup</t>
  </si>
  <si>
    <t>CTRL02</t>
  </si>
  <si>
    <t>CTRL03</t>
  </si>
  <si>
    <t>CTRL06</t>
  </si>
  <si>
    <t>CTRL07</t>
  </si>
  <si>
    <t>CTRL08</t>
  </si>
  <si>
    <t>CTRL10</t>
  </si>
  <si>
    <t>CTRL11</t>
  </si>
  <si>
    <t>CTRL12</t>
  </si>
  <si>
    <t>CTRL13</t>
  </si>
  <si>
    <t>CTRL14</t>
  </si>
  <si>
    <t>CTRL15</t>
  </si>
  <si>
    <t>CTRL16</t>
  </si>
  <si>
    <t>CTRL17</t>
  </si>
  <si>
    <t>CTRL18</t>
  </si>
  <si>
    <t>CTRL20</t>
  </si>
  <si>
    <t>CTRL21</t>
  </si>
  <si>
    <t>Do not use data</t>
  </si>
  <si>
    <t>Missing data</t>
  </si>
  <si>
    <t>Not tested yet</t>
  </si>
  <si>
    <t>Still need to review</t>
  </si>
  <si>
    <t>Will not fill this yet</t>
  </si>
  <si>
    <t>New PC ID</t>
  </si>
  <si>
    <t>Date tested</t>
  </si>
  <si>
    <t>DOB</t>
  </si>
  <si>
    <t>Age</t>
  </si>
  <si>
    <t>Biological Sex</t>
  </si>
  <si>
    <t>Race</t>
  </si>
  <si>
    <t>Neuro dx</t>
  </si>
  <si>
    <t>Migraine dx</t>
  </si>
  <si>
    <t>Mental dx</t>
  </si>
  <si>
    <t>Visual dx</t>
  </si>
  <si>
    <t>Light sensitivity</t>
  </si>
  <si>
    <t>Neck problem</t>
  </si>
  <si>
    <t>TMJ</t>
  </si>
  <si>
    <t>Interest In future contact?</t>
  </si>
  <si>
    <t>M</t>
  </si>
  <si>
    <t>Asian</t>
  </si>
  <si>
    <t>F</t>
  </si>
  <si>
    <t>White</t>
  </si>
  <si>
    <t>Depression, generalized anxiety, borderline personality disorder, OCD, and ADHD</t>
  </si>
  <si>
    <t>Sometimes, from migraines</t>
  </si>
  <si>
    <t>General chronic neck pain</t>
  </si>
  <si>
    <t>TMJ-related pain</t>
  </si>
  <si>
    <t>Depression - S.A.D.</t>
  </si>
  <si>
    <t>Needs glasses to function safely</t>
  </si>
  <si>
    <t>Yes, bright lights</t>
  </si>
  <si>
    <t>South Asian</t>
  </si>
  <si>
    <t>Headaches at least once weekly</t>
  </si>
  <si>
    <t>Headaches</t>
  </si>
  <si>
    <t>Contact Lenses</t>
  </si>
  <si>
    <t>Arthritis in neck</t>
  </si>
  <si>
    <t>Previous challenges with TMJ</t>
  </si>
  <si>
    <t>Not for years</t>
  </si>
  <si>
    <t>Occasional headaches</t>
  </si>
  <si>
    <t>Hispanic/latino</t>
  </si>
  <si>
    <t>Ideopathic Intracranial Hypertension</t>
  </si>
  <si>
    <t>Yes (chronic pain)</t>
  </si>
  <si>
    <t>Sometimes, might cause headaches</t>
  </si>
  <si>
    <t>Physical therapy traction last year- still stiff and “cracks”. Tmj in past but not troubled by it now. Sleep Apnea treated with Bipap. </t>
  </si>
  <si>
    <t>White and American Indian</t>
  </si>
  <si>
    <t>Depression and anxiety</t>
  </si>
  <si>
    <t>No, uses reading glasses</t>
  </si>
  <si>
    <t>High IOP in eyes</t>
  </si>
  <si>
    <t>Previous slight TMJ issues</t>
  </si>
  <si>
    <t>Wears glasses but would not call it severe</t>
  </si>
  <si>
    <t>Corrective lenses</t>
  </si>
  <si>
    <t>Yes, had concussion a year ago and bright light bothers him.</t>
  </si>
  <si>
    <t>Moving jaw in different directions significantly increases baseline tinnitus</t>
  </si>
  <si>
    <t>EXP47</t>
  </si>
  <si>
    <t>82 Pup</t>
  </si>
  <si>
    <t>CNTRL01</t>
  </si>
  <si>
    <t>Yes, mild issue</t>
  </si>
  <si>
    <t>Long COVID</t>
  </si>
  <si>
    <t>Prescription glasses for nearsightedness</t>
  </si>
  <si>
    <t>Acute light sensitivity in Feb 2020 and light sensitivity lasting Nov 2024 to April 2025, which was caused by a medication. Resolved after discontinuing medication. </t>
  </si>
  <si>
    <t>Yes, bipolar type I</t>
  </si>
  <si>
    <t>Yes, with seasons. Headaches with vision strain.</t>
  </si>
  <si>
    <t xml:space="preserve">CTRL15 </t>
  </si>
  <si>
    <t>Occasional migraines</t>
  </si>
  <si>
    <t>Yes. To fluorescent lights.</t>
  </si>
  <si>
    <t>CTRL26</t>
  </si>
  <si>
    <t>84 Pup</t>
  </si>
  <si>
    <t>CTRL27</t>
  </si>
  <si>
    <t>86 Pup</t>
  </si>
  <si>
    <t>CTRL28</t>
  </si>
  <si>
    <t>87 Pup</t>
  </si>
  <si>
    <t>To be sorted</t>
  </si>
  <si>
    <t>Data to not be used</t>
  </si>
  <si>
    <t>EXP</t>
  </si>
  <si>
    <t>RE Audio Results</t>
  </si>
  <si>
    <t>LE Audio Results</t>
  </si>
  <si>
    <t>SRT</t>
  </si>
  <si>
    <t xml:space="preserve">WRS  </t>
  </si>
  <si>
    <t>RE UHF</t>
  </si>
  <si>
    <t>LE UHF</t>
  </si>
  <si>
    <t>RE LDLs</t>
  </si>
  <si>
    <t>LE LDLs</t>
  </si>
  <si>
    <t>Tympanometry</t>
  </si>
  <si>
    <t>RE DRs</t>
  </si>
  <si>
    <t>LE DRs</t>
  </si>
  <si>
    <t>OpenBCi ID</t>
  </si>
  <si>
    <t>OpenBCi ID New PC ID</t>
  </si>
  <si>
    <t>Neurable ID</t>
  </si>
  <si>
    <t>Date Tested (OpenBCi)</t>
  </si>
  <si>
    <t>Date Re-Tested (OpenBCi)</t>
  </si>
  <si>
    <t>Date Tested (Neurable)</t>
  </si>
  <si>
    <t>Date Re-Tested (Neurable)</t>
  </si>
  <si>
    <t>Comment on Data Quality</t>
  </si>
  <si>
    <t>Notes on Audio</t>
  </si>
  <si>
    <t>Appointment Notes</t>
  </si>
  <si>
    <t>ELA</t>
  </si>
  <si>
    <t>PTA</t>
  </si>
  <si>
    <t>Hearing Loss?</t>
  </si>
  <si>
    <t>SRT RE</t>
  </si>
  <si>
    <t>SRT LE</t>
  </si>
  <si>
    <t>WRS RE %</t>
  </si>
  <si>
    <t>WRS dB</t>
  </si>
  <si>
    <t>WRS LE %</t>
  </si>
  <si>
    <t>Total Score (Avg)</t>
  </si>
  <si>
    <t>Ear Tested</t>
  </si>
  <si>
    <t>Noise Used</t>
  </si>
  <si>
    <t>Pitch (Hz)</t>
  </si>
  <si>
    <t>Loudness (dB HL)</t>
  </si>
  <si>
    <t>Tinnitus Description</t>
  </si>
  <si>
    <t>Case Hx</t>
  </si>
  <si>
    <t>Tymp RE</t>
  </si>
  <si>
    <t>Tymp LE</t>
  </si>
  <si>
    <t>Average LDL Score</t>
  </si>
  <si>
    <t>Right</t>
  </si>
  <si>
    <t>PT</t>
  </si>
  <si>
    <t>CNT</t>
  </si>
  <si>
    <t>Ad</t>
  </si>
  <si>
    <t>No Tinnitus</t>
  </si>
  <si>
    <t>A</t>
  </si>
  <si>
    <t xml:space="preserve">A </t>
  </si>
  <si>
    <t>Left</t>
  </si>
  <si>
    <t>WN</t>
  </si>
  <si>
    <t>N/A</t>
  </si>
  <si>
    <t>DNT</t>
  </si>
  <si>
    <t>Tinnitus not present at appointment</t>
  </si>
  <si>
    <t>Note: no xdf file</t>
  </si>
  <si>
    <t>Audio tested on 10/11/25</t>
  </si>
  <si>
    <t>Audio tested on 10/29/25</t>
  </si>
  <si>
    <t>Audio tested on 10/30/25</t>
  </si>
  <si>
    <t>Participant seemed depressed. Wife suffers from Alzheimer's and he is primary caregiver. Reported she is in a decline and is currently very affected by her current decline in health. Previous appointment (phone pupillometry), participant did not score outside of normal limits in HQ and MQ but in this appointment, they did.</t>
  </si>
  <si>
    <t>Audio tested on 10/31/25</t>
  </si>
  <si>
    <t>Was unable to obtain EEG data but pupillometry data is available</t>
  </si>
  <si>
    <t>Audio tested on 11/24/25</t>
  </si>
  <si>
    <t>NBN</t>
  </si>
  <si>
    <t>B</t>
  </si>
  <si>
    <t>Tested Using Neurable</t>
  </si>
  <si>
    <t>EXP44</t>
  </si>
  <si>
    <t>77 Pup</t>
  </si>
  <si>
    <t>EXP45</t>
  </si>
  <si>
    <t>79 Pup</t>
  </si>
  <si>
    <t>Participant is a HA wearer (4 months). Reported disfomfort of loud sounds even without HAs. Uses HPD in loud music events. HAs help with both HL and tinn</t>
  </si>
  <si>
    <t>EXP46</t>
  </si>
  <si>
    <t>73 Pup</t>
  </si>
  <si>
    <t>Audio tested on 5/29/26</t>
  </si>
  <si>
    <t>Participant has severe issues with light sensitivty due to hx of concussion. Accomodations were made to deal with that during audiological assessment</t>
  </si>
  <si>
    <t>Total EXP Participants</t>
  </si>
  <si>
    <t>Totals</t>
  </si>
  <si>
    <t>CTRL</t>
  </si>
  <si>
    <t>WRS</t>
  </si>
  <si>
    <t>Worse LDL</t>
  </si>
  <si>
    <t>Note: While results fell within the limits of a control participant, this might have possible mild sound sensitivity issues</t>
  </si>
  <si>
    <t>Total CTRL Participants</t>
  </si>
  <si>
    <t>Unsorted</t>
  </si>
  <si>
    <t>SoundName</t>
  </si>
  <si>
    <t>CTRL Group</t>
  </si>
  <si>
    <t>ID</t>
  </si>
  <si>
    <t>Iowa Tinnitus</t>
  </si>
  <si>
    <t>Misophonia Questionnaire</t>
  </si>
  <si>
    <t>Emotions Questionnaire Before PA</t>
  </si>
  <si>
    <t>Emotions Questionnaire After PA</t>
  </si>
  <si>
    <t>Total Score</t>
  </si>
  <si>
    <t>Severity</t>
  </si>
  <si>
    <t>F Subscale Total</t>
  </si>
  <si>
    <t>S Subscale Total</t>
  </si>
  <si>
    <t>E Subscale Total</t>
  </si>
  <si>
    <t>Significant?</t>
  </si>
  <si>
    <t>Factor 1</t>
  </si>
  <si>
    <t>Factor2</t>
  </si>
  <si>
    <t>Factor 3</t>
  </si>
  <si>
    <t>Section 1</t>
  </si>
  <si>
    <t>Section 2</t>
  </si>
  <si>
    <t>Section 3</t>
  </si>
  <si>
    <t>Sounds are bothersome</t>
  </si>
  <si>
    <t>S1B_EM</t>
  </si>
  <si>
    <t>SR</t>
  </si>
  <si>
    <t>S</t>
  </si>
  <si>
    <t>S2B_EM</t>
  </si>
  <si>
    <t>S3B_EM</t>
  </si>
  <si>
    <t>S4B_EM</t>
  </si>
  <si>
    <t>S5B_EM</t>
  </si>
  <si>
    <t>S1A_EM</t>
  </si>
  <si>
    <t>S2A_EM</t>
  </si>
  <si>
    <t>S3A_EM</t>
  </si>
  <si>
    <t>S4A_EM</t>
  </si>
  <si>
    <t>S5A_EM</t>
  </si>
  <si>
    <t>NA</t>
  </si>
  <si>
    <t>minimal</t>
  </si>
  <si>
    <t>02 pup</t>
  </si>
  <si>
    <t>03 pup</t>
  </si>
  <si>
    <t>11 pup</t>
  </si>
  <si>
    <t>moderate</t>
  </si>
  <si>
    <t>13 pup</t>
  </si>
  <si>
    <t>mild</t>
  </si>
  <si>
    <t>09 pup</t>
  </si>
  <si>
    <t>22 pup</t>
  </si>
  <si>
    <t>23 pup</t>
  </si>
  <si>
    <t>24 pup</t>
  </si>
  <si>
    <t>25 pup</t>
  </si>
  <si>
    <t>27 pup</t>
  </si>
  <si>
    <t>20 pup</t>
  </si>
  <si>
    <t>29 pup</t>
  </si>
  <si>
    <t>Disgust</t>
  </si>
  <si>
    <t>Confusion</t>
  </si>
  <si>
    <t>Uncomfortable</t>
  </si>
  <si>
    <t>Peace</t>
  </si>
  <si>
    <t>Irritated</t>
  </si>
  <si>
    <t>Annoyed</t>
  </si>
  <si>
    <t>Calm</t>
  </si>
  <si>
    <t>Relaxed</t>
  </si>
  <si>
    <t>32 pup</t>
  </si>
  <si>
    <t>Bored</t>
  </si>
  <si>
    <t>Anxious</t>
  </si>
  <si>
    <t>Neutral</t>
  </si>
  <si>
    <t>39 pup</t>
  </si>
  <si>
    <t>Gross</t>
  </si>
  <si>
    <t>Disgusting</t>
  </si>
  <si>
    <t>Fine</t>
  </si>
  <si>
    <t xml:space="preserve">51 pup </t>
  </si>
  <si>
    <t>Chewing</t>
  </si>
  <si>
    <t>Click Contiunous</t>
  </si>
  <si>
    <t>Paper Crunching</t>
  </si>
  <si>
    <t>Fast-Tapping</t>
  </si>
  <si>
    <t>Enraged</t>
  </si>
  <si>
    <t>Ctrl: Light Rain</t>
  </si>
  <si>
    <t>Click Continous</t>
  </si>
  <si>
    <t>Fast Typing</t>
  </si>
  <si>
    <t>Angry</t>
  </si>
  <si>
    <t>54 pup</t>
  </si>
  <si>
    <t>EXP Group</t>
  </si>
  <si>
    <t>Factor 1 (%) - Social, Emotional, &amp; Behavioral Tinnitus Effects</t>
  </si>
  <si>
    <t>Factor 2 (%) - Tinnitus &amp; Hearing</t>
  </si>
  <si>
    <t>Factor 3 (%) - Outlook on tinnitus</t>
  </si>
  <si>
    <t>Sound Presented</t>
  </si>
  <si>
    <t>Hearing loss/ Tinnitus/ Hyperacusis/ Misophonia</t>
  </si>
  <si>
    <t>Mild</t>
  </si>
  <si>
    <t>07 pup</t>
  </si>
  <si>
    <t>08 pup</t>
  </si>
  <si>
    <t>Tinnitus/  Hyperacusis/ Misophonia</t>
  </si>
  <si>
    <t>Severe</t>
  </si>
  <si>
    <t>15 pup</t>
  </si>
  <si>
    <t xml:space="preserve">Hearing loss/ Tinnitus </t>
  </si>
  <si>
    <t>12 pup</t>
  </si>
  <si>
    <t>16 pup</t>
  </si>
  <si>
    <t>Hearing loss</t>
  </si>
  <si>
    <t>21 pup</t>
  </si>
  <si>
    <t>19 pup</t>
  </si>
  <si>
    <t>Hearing loss/ Tinnitus/ Hyperacusis</t>
  </si>
  <si>
    <t>26 pup</t>
  </si>
  <si>
    <t>Hyperacusis/ Misophonia</t>
  </si>
  <si>
    <t>30 pup</t>
  </si>
  <si>
    <t>31 pup</t>
  </si>
  <si>
    <t>Hearing Loss/ Hyperacusis</t>
  </si>
  <si>
    <t>33 pup</t>
  </si>
  <si>
    <t>34 pup</t>
  </si>
  <si>
    <t>37 pup</t>
  </si>
  <si>
    <t>Loud eaters</t>
  </si>
  <si>
    <t>Leaves Rustle</t>
  </si>
  <si>
    <t xml:space="preserve">Chewing </t>
  </si>
  <si>
    <t>Heavy Rain</t>
  </si>
  <si>
    <t>44 pup</t>
  </si>
  <si>
    <t>Clearing Throat</t>
  </si>
  <si>
    <t>Human Breathing/Panting</t>
  </si>
  <si>
    <t>Loud Eaters</t>
  </si>
  <si>
    <t>Leaves Rustle on Tree</t>
  </si>
  <si>
    <t>42 pup</t>
  </si>
  <si>
    <t>Hearing loss/ Tinnitus/ Hyperacusis/Misophonia</t>
  </si>
  <si>
    <t>43 pup</t>
  </si>
  <si>
    <t>Oral Sounds - Smacking Lips</t>
  </si>
  <si>
    <t>Waves Crashing On Rock</t>
  </si>
  <si>
    <t>Oral Sound- Smacking Lips</t>
  </si>
  <si>
    <t>Waves Crashing on Rock</t>
  </si>
  <si>
    <t>47 pup</t>
  </si>
  <si>
    <t>slight</t>
  </si>
  <si>
    <t>Negative/High Arousal</t>
  </si>
  <si>
    <t>Coughing</t>
  </si>
  <si>
    <t>Negative/Low</t>
  </si>
  <si>
    <t>Water Drops</t>
  </si>
  <si>
    <t>Ctrl: Leaves Rustle on Tree</t>
  </si>
  <si>
    <t>Postive/Low</t>
  </si>
  <si>
    <t>Negative/High</t>
  </si>
  <si>
    <t>Positive/Low</t>
  </si>
  <si>
    <t>48 pup</t>
  </si>
  <si>
    <t>Waves</t>
  </si>
  <si>
    <t>Baby Cry</t>
  </si>
  <si>
    <t>Sneezing</t>
  </si>
  <si>
    <t>52 pup</t>
  </si>
  <si>
    <t>Loud Eating</t>
  </si>
  <si>
    <t>Crtl: Light Rain</t>
  </si>
  <si>
    <t>53 pup</t>
  </si>
  <si>
    <t>Alarm Clock</t>
  </si>
  <si>
    <t>Wood Tapping on Board</t>
  </si>
  <si>
    <t>Platic Crumpling</t>
  </si>
  <si>
    <t>Distracting</t>
  </si>
  <si>
    <t>Crtl: Leaves Rustle on Tree</t>
  </si>
  <si>
    <t>Calming</t>
  </si>
  <si>
    <t>Plastic Crumpling</t>
  </si>
  <si>
    <t>55 pup</t>
  </si>
  <si>
    <t>Soothing</t>
  </si>
  <si>
    <t>Leaves rustling</t>
  </si>
  <si>
    <t>Human Breathing</t>
  </si>
  <si>
    <t>Annoying</t>
  </si>
  <si>
    <t>Light Rain</t>
  </si>
  <si>
    <t>Waves Crashing</t>
  </si>
  <si>
    <t>Very Relaxed</t>
  </si>
  <si>
    <t>Relaxeds</t>
  </si>
  <si>
    <t>Not Sorted Yet</t>
  </si>
  <si>
    <t>No pupillometry measures</t>
  </si>
  <si>
    <t>LDL</t>
  </si>
  <si>
    <t>Happening in at least 1 ear</t>
  </si>
  <si>
    <t>Misophonia level (1-15)</t>
  </si>
  <si>
    <t>THI （0-100）</t>
  </si>
  <si>
    <t>Category</t>
  </si>
  <si>
    <t>PTA (500, 1000, 2000, 4000 in better ear)</t>
  </si>
  <si>
    <t>0. None/Negative</t>
  </si>
  <si>
    <t>95 dB or greater at all frequencies</t>
  </si>
  <si>
    <t>0. Minimal anxiety</t>
  </si>
  <si>
    <t>0 to 4</t>
  </si>
  <si>
    <t>0. No Hyperacusis</t>
  </si>
  <si>
    <t>0 to 27</t>
  </si>
  <si>
    <t>0. Normal</t>
  </si>
  <si>
    <t>1 to 3</t>
  </si>
  <si>
    <t xml:space="preserve">0-none </t>
  </si>
  <si>
    <t>0 to 16</t>
  </si>
  <si>
    <t>0. Normal Hearing</t>
  </si>
  <si>
    <t>-10.0 to 4.9 dB</t>
  </si>
  <si>
    <t>1. Mild</t>
  </si>
  <si>
    <t>80 - 90 dB at 2 or more frequencies</t>
  </si>
  <si>
    <t>1. Mild 1</t>
  </si>
  <si>
    <t>5 to 7</t>
  </si>
  <si>
    <t>1. Hyperacusis</t>
  </si>
  <si>
    <t>28 to 100</t>
  </si>
  <si>
    <t>1. Mild sound sensitivity</t>
  </si>
  <si>
    <t>4 to 6</t>
  </si>
  <si>
    <t>1- mild</t>
  </si>
  <si>
    <t>18 to 36</t>
  </si>
  <si>
    <t>5.0 to 19.9 dB</t>
  </si>
  <si>
    <t>2. Moderate</t>
  </si>
  <si>
    <t>65 - 75 dB at 2 or more frequencies</t>
  </si>
  <si>
    <t>2. Mild 2</t>
  </si>
  <si>
    <t>8 to 9</t>
  </si>
  <si>
    <t>7 to 9</t>
  </si>
  <si>
    <t>2-moderate</t>
  </si>
  <si>
    <t>38 to 56</t>
  </si>
  <si>
    <t>1. Mild Hearing loss</t>
  </si>
  <si>
    <t>20.0 to 34.9 dB</t>
  </si>
  <si>
    <t>3. Severe</t>
  </si>
  <si>
    <t>60 dB or lower at 2 or more frequencies</t>
  </si>
  <si>
    <t>3. Moderate anxiety</t>
  </si>
  <si>
    <t>10 to 14</t>
  </si>
  <si>
    <t>10 to 12</t>
  </si>
  <si>
    <t xml:space="preserve">3- severe </t>
  </si>
  <si>
    <t>58 to 76</t>
  </si>
  <si>
    <t>2. Moderate hearing loss</t>
  </si>
  <si>
    <t>35.0 to 49.9 dB</t>
  </si>
  <si>
    <t>4. Severe anxiety</t>
  </si>
  <si>
    <t>15 to 21</t>
  </si>
  <si>
    <t>4. very severe</t>
  </si>
  <si>
    <t>13 to 15</t>
  </si>
  <si>
    <t>4- catastrophic</t>
  </si>
  <si>
    <t>78 to 100</t>
  </si>
  <si>
    <t>3. Moderately severe hearing loss</t>
  </si>
  <si>
    <t>50.0 to 64.9 dB</t>
  </si>
  <si>
    <t>https://www.parinc.com/docs/default-source/product-resources/checkit_series_gad7_tech_supp_paper_v4_092920.pdf</t>
  </si>
  <si>
    <t>4. Severe hearing loss</t>
  </si>
  <si>
    <t>65.0 to 79.9 dB</t>
  </si>
  <si>
    <t>5. Profound hearing loss</t>
  </si>
  <si>
    <t>80.0 to 94.9 dB</t>
  </si>
  <si>
    <t>6. Complete or total hearing loss</t>
  </si>
  <si>
    <t>95.0 or greater</t>
  </si>
  <si>
    <t>7. Unilateral</t>
  </si>
  <si>
    <t>&lt; 20.0 dB in better ear, 35.0 dB or greater in worse ear</t>
  </si>
  <si>
    <t>https://pmc.ncbi.nlm.nih.gov/articles/PMC6796665/#R6</t>
  </si>
  <si>
    <t>Outside of normal limits</t>
  </si>
  <si>
    <t>HL</t>
  </si>
  <si>
    <t>Tinn</t>
  </si>
  <si>
    <t>HYP</t>
  </si>
  <si>
    <t>MISO</t>
  </si>
  <si>
    <t>ESL</t>
  </si>
  <si>
    <t>Totals (n and avrgs)</t>
  </si>
  <si>
    <t>iH</t>
  </si>
  <si>
    <t>Factor 2</t>
  </si>
  <si>
    <t>Group Distribution</t>
  </si>
  <si>
    <t>Data Quality</t>
  </si>
  <si>
    <t>EEG Quality</t>
  </si>
  <si>
    <t>PC Pupillometry Quality</t>
  </si>
  <si>
    <t>Excellent </t>
  </si>
  <si>
    <t>Good</t>
  </si>
  <si>
    <t>Leyend</t>
  </si>
  <si>
    <t>Bad</t>
  </si>
  <si>
    <t>Recording was blurry</t>
  </si>
  <si>
    <t>Good data included for analysis</t>
  </si>
  <si>
    <t>Participant fell Asleep</t>
  </si>
  <si>
    <t>Bad data excluded</t>
  </si>
  <si>
    <t>Possible good data not included</t>
  </si>
  <si>
    <t>Average</t>
  </si>
  <si>
    <t>No Trigger Sounds and a lot of bad channels</t>
  </si>
  <si>
    <t>Eye blinking</t>
  </si>
  <si>
    <t>Reported bad data (have not verified it has been excluded from analysis)</t>
  </si>
  <si>
    <t>Missing data quality report</t>
  </si>
  <si>
    <t>Almost all channels were flat (High Correlation)</t>
  </si>
  <si>
    <t>Need to verify data is included</t>
  </si>
  <si>
    <t xml:space="preserve">Bad </t>
  </si>
  <si>
    <t>Missing xdf file</t>
  </si>
  <si>
    <t>(High Correlation)</t>
  </si>
  <si>
    <t>Only one trigger sound</t>
  </si>
  <si>
    <t>Almost all channels were flat</t>
  </si>
  <si>
    <t xml:space="preserve">Flat Signal </t>
  </si>
  <si>
    <t>No data</t>
  </si>
  <si>
    <t>Not recorded</t>
  </si>
  <si>
    <t xml:space="preserve">Excellent </t>
  </si>
  <si>
    <t xml:space="preserve"> </t>
  </si>
  <si>
    <t>Total EXP</t>
  </si>
  <si>
    <t>One side of EEG channels are bad</t>
  </si>
  <si>
    <t>EEG data missing from stream</t>
  </si>
  <si>
    <t>No trigger sounds</t>
  </si>
  <si>
    <t>Bad </t>
  </si>
  <si>
    <t>No Trigger Sounds, High correlation</t>
  </si>
  <si>
    <t>All EEG channels show identical rhythmic artifacts, possibly due to some sort of interference or electrodes wearing off</t>
  </si>
  <si>
    <t>Only 1 good EEG channel, rest were flat</t>
  </si>
  <si>
    <t>Eye was blinking?</t>
  </si>
  <si>
    <t>Missing</t>
  </si>
  <si>
    <t>Total CTRL</t>
  </si>
  <si>
    <t>Results outside of normal limits</t>
  </si>
  <si>
    <t>Subject</t>
  </si>
  <si>
    <t>MQ (S3)</t>
  </si>
  <si>
    <t>Degree of Hearing Impairment</t>
  </si>
  <si>
    <t>RE Degree of HL</t>
  </si>
  <si>
    <t>LE Degree of HL</t>
  </si>
  <si>
    <t>GAD (Anxiety)</t>
  </si>
  <si>
    <t>Notched SNHL at 6 kHz</t>
  </si>
  <si>
    <t>Mild high frequency SNHL at 8 kHz</t>
  </si>
  <si>
    <t>Hearing within normal limits</t>
  </si>
  <si>
    <t>Notched SNHL at 3 kHz</t>
  </si>
  <si>
    <t>Mild to moderately-severe HF SNHL from 4-8 kHz</t>
  </si>
  <si>
    <t>Mild to moderate high frequency SNHL from 4 - 8 kHz</t>
  </si>
  <si>
    <t>Notched SNHL at 2 kHz</t>
  </si>
  <si>
    <t>moderate rising to normal MHL</t>
  </si>
  <si>
    <t>Moderate rising to normal MHL</t>
  </si>
  <si>
    <t>mild sloping to moderately-severe SNHL</t>
  </si>
  <si>
    <t>mild sloping to severe SNHL</t>
  </si>
  <si>
    <t>MQ: Misophonia level (1-15)</t>
  </si>
  <si>
    <t>Mild HF SNHL at 4 and 6 kHz</t>
  </si>
  <si>
    <t>Mild sloping to moderate hearing loss from 3 - 8 kHz</t>
  </si>
  <si>
    <t>Proufound SNHL</t>
  </si>
  <si>
    <t>0-slight</t>
  </si>
  <si>
    <r>
      <t xml:space="preserve">Note: if a participant has tinnitus and is in the slight or mild, will mark with a </t>
    </r>
    <r>
      <rPr>
        <sz val="11"/>
        <color rgb="FFFFC000"/>
        <rFont val="Aptos Narrow (Body)"/>
      </rPr>
      <t>orange</t>
    </r>
    <r>
      <rPr>
        <sz val="11"/>
        <rFont val="Aptos Narrow"/>
        <family val="2"/>
        <scheme val="minor"/>
      </rPr>
      <t xml:space="preserve"> color</t>
    </r>
  </si>
  <si>
    <t>20.0 to 4.9 dB</t>
  </si>
  <si>
    <t>Emotions Questionnaire KEY:</t>
  </si>
  <si>
    <t>-&gt; No information provided/ data not collected</t>
  </si>
  <si>
    <t>-&gt; Data still needs to be added to excel sheet</t>
  </si>
  <si>
    <t xml:space="preserve">S# </t>
  </si>
  <si>
    <t>-&gt; Sound Number (Ex: S1 = Sound 1)</t>
  </si>
  <si>
    <t>-&gt; Before pupillometry assessment</t>
  </si>
  <si>
    <t>-&gt; After pupillometry assessment</t>
  </si>
  <si>
    <t>EM</t>
  </si>
  <si>
    <t>-&gt; Primary Emotion</t>
  </si>
  <si>
    <t>-&gt; Emotion Strength Rating</t>
  </si>
  <si>
    <t>-&gt; Want to stop rating</t>
  </si>
  <si>
    <t>PA</t>
  </si>
  <si>
    <t>-&gt; Pupillometry Assessment</t>
  </si>
  <si>
    <t>Date Tested</t>
  </si>
  <si>
    <t>CTRL04</t>
  </si>
  <si>
    <t>05 Pup</t>
  </si>
  <si>
    <t>CTRL05</t>
  </si>
  <si>
    <t>06 Pup</t>
  </si>
  <si>
    <t>DNQ</t>
  </si>
  <si>
    <t>80 Pup</t>
  </si>
  <si>
    <t>DNQ, age 17 yrs old</t>
  </si>
  <si>
    <t>81 Pup</t>
  </si>
  <si>
    <t>DNQ, age less than 18 yrs.</t>
  </si>
  <si>
    <t>83 Pup</t>
  </si>
  <si>
    <t>Audio completed on 6/23/26</t>
  </si>
  <si>
    <t>DNQ, age less than 18 yrs. Possible sound tolerance issues</t>
  </si>
  <si>
    <t>No EEG and/or pupillometry measures</t>
  </si>
  <si>
    <t>I do not have any sound sensitivities</t>
  </si>
  <si>
    <t>Hearing  loss/ Tinnitus</t>
  </si>
  <si>
    <t>Reason for Exclusion</t>
  </si>
  <si>
    <t>78 Pup</t>
  </si>
  <si>
    <t>English 2nd language. Questionnaire data not reliable. Note: Audiometry results is reliable and sound sensitivy reporting might be reliable but not reliable enough for clinical study</t>
  </si>
  <si>
    <t>For Anarghya to fill</t>
  </si>
  <si>
    <t>First Language</t>
  </si>
  <si>
    <t>Cognitive</t>
  </si>
  <si>
    <t>75 Pup</t>
  </si>
  <si>
    <t>EXP43</t>
  </si>
  <si>
    <t>Total MQ</t>
  </si>
  <si>
    <t>93 Pup</t>
  </si>
  <si>
    <t>EXP50</t>
  </si>
  <si>
    <t>94 Pup</t>
  </si>
  <si>
    <t>EXP51</t>
  </si>
  <si>
    <t xml:space="preserve">Audio tested on: </t>
  </si>
  <si>
    <t>Audio tested on 5//20/26</t>
  </si>
  <si>
    <t>Recovering from post concussion syndrome (TBI)</t>
  </si>
  <si>
    <t>Extreme light sensitivity due to TBI but gradually improving</t>
  </si>
  <si>
    <t>minor TMJ issue</t>
  </si>
  <si>
    <t>95 Pup</t>
  </si>
  <si>
    <t>EXP52</t>
  </si>
  <si>
    <t>Loudness Subjection Ratings</t>
  </si>
  <si>
    <t>500 Hz</t>
  </si>
  <si>
    <t>4000 Hz</t>
  </si>
  <si>
    <t>uncal brain herniation 2021 (has reduced and is well managed)</t>
  </si>
  <si>
    <t>Migraine w/o aura (2021) but no longer experiences them</t>
  </si>
  <si>
    <t>Fluorescent overhead lights bother their eyes. Wears blue light blocking glasses</t>
  </si>
  <si>
    <t>severe</t>
  </si>
  <si>
    <t>Note: Possible cognitive issues due to hx of repetitive concussions (total of 4 hits to the head in a span of 8 years from 2010 - 2018 and in 2021 suffered an uncal hernia that left participant with cognitive deficits)</t>
  </si>
  <si>
    <t>COG</t>
  </si>
  <si>
    <t>92 Pup</t>
  </si>
  <si>
    <t>EXP53</t>
  </si>
  <si>
    <t>Language - Marathi</t>
  </si>
  <si>
    <t>96 Pup</t>
  </si>
  <si>
    <t>EXP54</t>
  </si>
  <si>
    <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</si>
</sst>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3" x14ac:knownFonts="1">
    <font>
      <sz val="12"/>
      <color theme="1"/>
      <name val="Aptos Narrow"/>
      <family val="2"/>
      <scheme val="minor"/>
    </font>
    <font>
      <b/>
      <sz val="11"/>
      <color theme="1"/>
      <name val="Aptos Narrow"/>
      <family val="2"/>
      <scheme val="minor"/>
    </font>
    <font>
      <b/>
      <sz val="11"/>
      <color rgb="FF0070C0"/>
      <name val="Aptos Narrow"/>
      <family val="2"/>
      <scheme val="minor"/>
    </font>
    <font>
      <b/>
      <sz val="11"/>
      <color rgb="FF941100"/>
      <name val="Aptos Narrow"/>
      <scheme val="minor"/>
    </font>
    <font>
      <b/>
      <sz val="11"/>
      <color rgb="FF002060"/>
      <name val="Aptos Narrow"/>
      <scheme val="minor"/>
    </font>
    <font>
      <b/>
      <sz val="11"/>
      <color rgb="FFC00000"/>
      <name val="Aptos Narrow"/>
      <family val="2"/>
      <scheme val="minor"/>
    </font>
    <font>
      <b/>
      <sz val="12"/>
      <color rgb="FFC00000"/>
      <name val="Aptos Narrow"/>
      <scheme val="minor"/>
    </font>
    <font>
      <b/>
      <sz val="12"/>
      <color rgb="FF0070C0"/>
      <name val="Aptos Narrow"/>
      <scheme val="minor"/>
    </font>
    <font>
      <b/>
      <sz val="11"/>
      <color theme="1"/>
      <name val="Aptos Narrow"/>
      <scheme val="minor"/>
    </font>
    <font>
      <b/>
      <sz val="12"/>
      <color theme="1"/>
      <name val="Aptos Narrow"/>
      <scheme val="minor"/>
    </font>
    <font>
      <sz val="11"/>
      <name val="Aptos Narrow"/>
      <family val="2"/>
      <scheme val="minor"/>
    </font>
    <font>
      <b/>
      <sz val="11"/>
      <color rgb="FF000000"/>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sz val="12"/>
      <color rgb="FFFF0000"/>
      <name val="Aptos Narrow"/>
      <family val="2"/>
      <scheme val="minor"/>
    </font>
    <font>
      <sz val="12"/>
      <color theme="0"/>
      <name val="Aptos Narrow"/>
      <family val="2"/>
      <scheme val="minor"/>
    </font>
    <font>
      <sz val="12"/>
      <color rgb="FF0070C0"/>
      <name val="Aptos Narrow"/>
      <family val="2"/>
      <scheme val="minor"/>
    </font>
    <font>
      <b/>
      <sz val="11"/>
      <color rgb="FFFF0000"/>
      <name val="Aptos Narrow"/>
      <family val="2"/>
      <scheme val="minor"/>
    </font>
    <font>
      <sz val="11"/>
      <color rgb="FFC00000"/>
      <name val="Aptos Narrow"/>
      <family val="2"/>
      <scheme val="minor"/>
    </font>
    <font>
      <sz val="11"/>
      <color rgb="FF00FA00"/>
      <name val="Aptos Narrow"/>
      <family val="2"/>
      <scheme val="minor"/>
    </font>
    <font>
      <sz val="11"/>
      <color theme="1"/>
      <name val="Aptos Narrow"/>
      <family val="2"/>
      <scheme val="minor"/>
    </font>
    <font>
      <sz val="11"/>
      <color theme="4" tint="-0.249977111117893"/>
      <name val="Aptos Narrow"/>
      <family val="2"/>
      <scheme val="minor"/>
    </font>
    <font>
      <sz val="11"/>
      <color theme="4" tint="-0.499984740745262"/>
      <name val="Aptos Narrow"/>
      <family val="2"/>
      <scheme val="minor"/>
    </font>
    <font>
      <sz val="11"/>
      <color rgb="FF941100"/>
      <name val="Aptos Narrow"/>
      <family val="2"/>
      <scheme val="minor"/>
    </font>
    <font>
      <sz val="11"/>
      <color rgb="FF002060"/>
      <name val="Aptos Narrow"/>
      <family val="2"/>
      <scheme val="minor"/>
    </font>
    <font>
      <b/>
      <sz val="11"/>
      <color rgb="FFFF0000"/>
      <name val="Aptos Narrow"/>
      <scheme val="minor"/>
    </font>
    <font>
      <sz val="12"/>
      <color rgb="FF00FA00"/>
      <name val="Aptos Narrow"/>
      <family val="2"/>
      <scheme val="minor"/>
    </font>
    <font>
      <sz val="11"/>
      <color rgb="FF0070C0"/>
      <name val="Aptos Narrow"/>
      <family val="2"/>
      <scheme val="minor"/>
    </font>
    <font>
      <sz val="11"/>
      <color theme="1"/>
      <name val="Aptos Narrow"/>
      <scheme val="minor"/>
    </font>
    <font>
      <sz val="12"/>
      <name val="Aptos Narrow"/>
      <family val="2"/>
      <scheme val="minor"/>
    </font>
    <font>
      <sz val="10"/>
      <color theme="1"/>
      <name val="Arial"/>
      <family val="2"/>
    </font>
    <font>
      <sz val="10"/>
      <color rgb="FF000000"/>
      <name val="Arial"/>
      <family val="2"/>
    </font>
    <font>
      <b/>
      <sz val="11"/>
      <color rgb="FF000000"/>
      <name val="Calibri"/>
      <family val="2"/>
    </font>
    <font>
      <sz val="11"/>
      <color rgb="FF000000"/>
      <name val="Calibri"/>
      <family val="2"/>
    </font>
    <font>
      <sz val="11"/>
      <color rgb="FFFF0000"/>
      <name val="Calibri"/>
      <family val="2"/>
    </font>
    <font>
      <b/>
      <sz val="11"/>
      <color rgb="FFFFFFFF"/>
      <name val="Calibri"/>
      <family val="2"/>
    </font>
    <font>
      <sz val="11"/>
      <color rgb="FF00FA00"/>
      <name val="Calibri"/>
      <family val="2"/>
    </font>
    <font>
      <b/>
      <sz val="12"/>
      <color theme="1"/>
      <name val="Aptos Narrow"/>
      <family val="2"/>
      <scheme val="minor"/>
    </font>
    <font>
      <u/>
      <sz val="12"/>
      <color theme="10"/>
      <name val="Aptos Narrow"/>
      <family val="2"/>
      <scheme val="minor"/>
    </font>
    <font>
      <sz val="11"/>
      <color rgb="FFFFC000"/>
      <name val="Aptos Narrow"/>
      <family val="2"/>
      <scheme val="minor"/>
    </font>
    <font>
      <sz val="11"/>
      <color rgb="FFFFC000"/>
      <name val="Aptos Narrow (Body)"/>
    </font>
    <font>
      <sz val="11"/>
      <name val="Aptos Narrow"/>
      <scheme val="minor"/>
    </font>
    <font>
      <sz val="12"/>
      <color rgb="FF000000"/>
      <name val="Times New Roman"/>
      <family val="1"/>
    </font>
    <font>
      <sz val="11"/>
      <color rgb="FF941000"/>
      <name val="Aptos Narrow"/>
      <family val="2"/>
      <scheme val="minor"/>
    </font>
    <font>
      <b/>
      <sz val="12"/>
      <color rgb="FFFF0000"/>
      <name val="Aptos Narrow"/>
      <scheme val="minor"/>
    </font>
    <font>
      <sz val="8"/>
      <name val="Aptos Narrow"/>
      <family val="2"/>
      <scheme val="minor"/>
    </font>
    <font>
      <sz val="12"/>
      <color theme="9" tint="-0.499984740745262"/>
      <name val="Aptos Narrow"/>
      <family val="2"/>
      <scheme val="minor"/>
    </font>
    <font>
      <sz val="12"/>
      <color rgb="FF941000"/>
      <name val="Aptos Narrow"/>
      <family val="2"/>
      <scheme val="minor"/>
    </font>
    <font>
      <sz val="12"/>
      <color rgb="FF002060"/>
      <name val="Aptos Narrow"/>
      <family val="2"/>
      <scheme val="minor"/>
    </font>
    <font>
      <b/>
      <sz val="12"/>
      <color rgb="FFFF0000"/>
      <name val="Aptos Narrow"/>
      <family val="2"/>
      <scheme val="minor"/>
    </font>
    <font>
      <sz val="12"/>
      <name val="Aptos Narrow"/>
      <scheme val="minor"/>
    </font>
    <font>
      <b/>
      <sz val="12"/>
      <name val="Aptos Narrow"/>
      <scheme val="minor"/>
    </font>
    <font>
      <sz val="12"/>
      <color theme="1"/>
      <name val="Aptos Narrow"/>
      <scheme val="minor"/>
    </font>
    <font>
      <sz val="12"/>
      <color rgb="FFFF0000"/>
      <name val="Aptos Narrow"/>
      <scheme val="minor"/>
    </font>
    <font>
      <sz val="12"/>
      <color rgb="FF000000"/>
      <name val="Aptos Narrow"/>
      <family val="2"/>
      <scheme val="minor"/>
    </font>
    <font>
      <sz val="12"/>
      <color rgb="FF000000"/>
      <name val="Aptos Narrow"/>
    </font>
    <font>
      <b/>
      <sz val="11"/>
      <color theme="0"/>
      <name val="Aptos Narrow"/>
      <family val="2"/>
      <scheme val="minor"/>
    </font>
    <font>
      <sz val="11"/>
      <color theme="3" tint="9.9978637043366805E-2"/>
      <name val="Aptos Narrow"/>
      <family val="2"/>
      <scheme val="minor"/>
    </font>
    <font>
      <sz val="11"/>
      <color rgb="FF000000"/>
      <name val="Aptos Narrow"/>
      <family val="2"/>
      <scheme val="minor"/>
    </font>
    <font>
      <sz val="12"/>
      <color theme="3" tint="0.499984740745262"/>
      <name val="Aptos Narrow"/>
      <family val="2"/>
      <scheme val="minor"/>
    </font>
    <font>
      <sz val="11"/>
      <color rgb="FFFF0000"/>
      <name val="Aptos Narrow"/>
      <scheme val="minor"/>
    </font>
    <font>
      <b/>
      <sz val="11"/>
      <color theme="0"/>
      <name val="Aptos Narrow"/>
      <scheme val="minor"/>
    </font>
    <font>
      <b/>
      <sz val="12"/>
      <color theme="0"/>
      <name val="Aptos Narrow"/>
      <scheme val="minor"/>
    </font>
    <font>
      <b/>
      <sz val="11"/>
      <name val="Aptos Narrow"/>
      <family val="2"/>
      <scheme val="minor"/>
    </font>
    <font>
      <b/>
      <sz val="12"/>
      <name val="Aptos Narrow"/>
      <family val="2"/>
      <scheme val="minor"/>
    </font>
    <font>
      <b/>
      <sz val="12"/>
      <color rgb="FF000000"/>
      <name val="Aptos Narrow"/>
      <family val="2"/>
      <scheme val="minor"/>
    </font>
    <font>
      <b/>
      <sz val="12"/>
      <color rgb="FF000000"/>
      <name val="Aptos Narrow"/>
      <scheme val="minor"/>
    </font>
    <font>
      <b/>
      <sz val="12"/>
      <color theme="0"/>
      <name val="Aptos Narrow"/>
      <family val="2"/>
      <scheme val="minor"/>
    </font>
    <font>
      <sz val="11"/>
      <name val="Calibri"/>
      <family val="2"/>
    </font>
    <font>
      <sz val="12"/>
      <color rgb="FFC00000"/>
      <name val="Aptos Narrow"/>
      <family val="2"/>
      <scheme val="minor"/>
    </font>
    <font>
      <sz val="12"/>
      <color theme="3" tint="9.9978637043366805E-2"/>
      <name val="Aptos Narrow"/>
      <family val="2"/>
      <scheme val="minor"/>
    </font>
    <font>
      <b/>
      <sz val="12"/>
      <color rgb="FFFFFFFF"/>
      <name val="Aptos Narrow"/>
      <scheme val="minor"/>
    </font>
  </fonts>
  <fills count="29">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9411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1"/>
        <bgColor indexed="64"/>
      </patternFill>
    </fill>
    <fill>
      <patternFill patternType="solid">
        <fgColor rgb="FFFF7E79"/>
        <bgColor indexed="64"/>
      </patternFill>
    </fill>
    <fill>
      <patternFill patternType="solid">
        <fgColor theme="0" tint="-0.14999847407452621"/>
        <bgColor indexed="64"/>
      </patternFill>
    </fill>
    <fill>
      <patternFill patternType="solid">
        <fgColor rgb="FF941000"/>
        <bgColor indexed="64"/>
      </patternFill>
    </fill>
    <fill>
      <patternFill patternType="solid">
        <fgColor rgb="FFFFF2CC"/>
        <bgColor rgb="FF000000"/>
      </patternFill>
    </fill>
    <fill>
      <patternFill patternType="solid">
        <fgColor rgb="FFEDEDED"/>
        <bgColor rgb="FF000000"/>
      </patternFill>
    </fill>
    <fill>
      <patternFill patternType="solid">
        <fgColor rgb="FF941000"/>
        <bgColor rgb="FF000000"/>
      </patternFill>
    </fill>
    <fill>
      <patternFill patternType="solid">
        <fgColor rgb="FFFFFF00"/>
        <bgColor indexed="64"/>
      </patternFill>
    </fill>
    <fill>
      <patternFill patternType="solid">
        <fgColor rgb="FF00FA00"/>
        <bgColor indexed="64"/>
      </patternFill>
    </fill>
    <fill>
      <patternFill patternType="solid">
        <fgColor rgb="FFFF00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7C7AC"/>
        <bgColor indexed="64"/>
      </patternFill>
    </fill>
    <fill>
      <patternFill patternType="solid">
        <fgColor theme="0"/>
        <bgColor indexed="64"/>
      </patternFill>
    </fill>
    <fill>
      <patternFill patternType="solid">
        <fgColor rgb="FFA5A5A5"/>
      </patternFill>
    </fill>
    <fill>
      <patternFill patternType="solid">
        <fgColor rgb="FFC00000"/>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rgb="FF000000"/>
        <bgColor rgb="FF000000"/>
      </patternFill>
    </fill>
  </fills>
  <borders count="45">
    <border>
      <left/>
      <right/>
      <top/>
      <bottom/>
      <diagonal/>
    </border>
    <border>
      <left style="thin">
        <color theme="4"/>
      </left>
      <right/>
      <top style="thin">
        <color theme="4"/>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style="hair">
        <color auto="1"/>
      </top>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style="hair">
        <color auto="1"/>
      </right>
      <top/>
      <bottom/>
      <diagonal/>
    </border>
    <border>
      <left style="hair">
        <color auto="1"/>
      </left>
      <right style="hair">
        <color auto="1"/>
      </right>
      <top/>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s>
  <cellStyleXfs count="3">
    <xf numFmtId="0" fontId="0" fillId="0" borderId="0"/>
    <xf numFmtId="0" fontId="39" fillId="0" borderId="0" applyNumberFormat="0" applyFill="0" applyBorder="0" applyAlignment="0" applyProtection="0"/>
    <xf numFmtId="0" fontId="57" fillId="24" borderId="41" applyNumberFormat="0" applyAlignment="0" applyProtection="0"/>
  </cellStyleXfs>
  <cellXfs count="460">
    <xf numFmtId="0" fontId="0" fillId="0" borderId="0" xfId="0"/>
    <xf numFmtId="0" fontId="1" fillId="0" borderId="0" xfId="0" applyFont="1"/>
    <xf numFmtId="0" fontId="1" fillId="2" borderId="0" xfId="0" applyFont="1" applyFill="1"/>
    <xf numFmtId="0" fontId="0" fillId="2" borderId="0" xfId="0" applyFill="1"/>
    <xf numFmtId="0" fontId="0" fillId="0" borderId="0" xfId="0" applyAlignment="1">
      <alignment horizontal="center"/>
    </xf>
    <xf numFmtId="0" fontId="2" fillId="0" borderId="0" xfId="0" applyFont="1" applyAlignment="1">
      <alignment horizontal="right"/>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right"/>
    </xf>
    <xf numFmtId="0" fontId="1" fillId="3" borderId="0" xfId="0" applyFont="1" applyFill="1"/>
    <xf numFmtId="0" fontId="0" fillId="3" borderId="0" xfId="0" applyFill="1"/>
    <xf numFmtId="0" fontId="0" fillId="0" borderId="0" xfId="0" applyAlignment="1">
      <alignment horizontal="right"/>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righ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wrapText="1"/>
    </xf>
    <xf numFmtId="0" fontId="0" fillId="0" borderId="0" xfId="0" applyAlignment="1">
      <alignment vertical="center" wrapText="1"/>
    </xf>
    <xf numFmtId="0" fontId="0" fillId="0" borderId="1" xfId="0" applyBorder="1" applyAlignment="1">
      <alignment horizontal="left" vertical="center" wrapText="1"/>
    </xf>
    <xf numFmtId="0" fontId="9" fillId="0" borderId="0" xfId="0" applyFont="1"/>
    <xf numFmtId="14" fontId="0" fillId="0" borderId="0" xfId="0" applyNumberFormat="1"/>
    <xf numFmtId="0" fontId="10" fillId="0" borderId="0" xfId="0" applyFont="1"/>
    <xf numFmtId="0" fontId="1" fillId="4" borderId="0" xfId="0" applyFont="1" applyFill="1"/>
    <xf numFmtId="0" fontId="1" fillId="4" borderId="0" xfId="0" applyFont="1" applyFill="1" applyAlignment="1">
      <alignment horizontal="center"/>
    </xf>
    <xf numFmtId="0" fontId="1" fillId="4" borderId="0" xfId="0" applyFont="1" applyFill="1" applyAlignment="1">
      <alignment wrapText="1"/>
    </xf>
    <xf numFmtId="0" fontId="1" fillId="4" borderId="2" xfId="0" applyFont="1" applyFill="1" applyBorder="1"/>
    <xf numFmtId="0" fontId="0" fillId="4" borderId="0" xfId="0" applyFill="1"/>
    <xf numFmtId="0" fontId="1" fillId="5" borderId="0" xfId="0" applyFont="1" applyFill="1"/>
    <xf numFmtId="0" fontId="1" fillId="5" borderId="0" xfId="0" applyFont="1" applyFill="1" applyAlignment="1">
      <alignment wrapText="1"/>
    </xf>
    <xf numFmtId="0" fontId="13" fillId="0" borderId="0" xfId="0" applyFont="1"/>
    <xf numFmtId="0" fontId="0" fillId="0" borderId="0" xfId="0" applyAlignment="1">
      <alignment horizontal="right" vertical="center"/>
    </xf>
    <xf numFmtId="0" fontId="0" fillId="0" borderId="0" xfId="0" applyAlignment="1">
      <alignment horizontal="left" vertical="center"/>
    </xf>
    <xf numFmtId="0" fontId="12" fillId="0" borderId="0" xfId="0" applyFont="1" applyAlignment="1">
      <alignment horizontal="center"/>
    </xf>
    <xf numFmtId="0" fontId="1" fillId="4" borderId="0" xfId="0" applyFont="1" applyFill="1" applyAlignment="1">
      <alignment horizontal="center" wrapText="1"/>
    </xf>
    <xf numFmtId="0" fontId="1" fillId="4" borderId="0" xfId="0" applyFont="1" applyFill="1" applyAlignment="1">
      <alignment horizontal="center" vertical="center" wrapText="1"/>
    </xf>
    <xf numFmtId="0" fontId="1" fillId="4" borderId="2" xfId="0" applyFont="1" applyFill="1" applyBorder="1" applyAlignment="1">
      <alignment horizontal="center" vertical="center" wrapText="1"/>
    </xf>
    <xf numFmtId="0" fontId="0" fillId="4" borderId="0" xfId="0" applyFill="1" applyAlignment="1">
      <alignment wrapText="1"/>
    </xf>
    <xf numFmtId="0" fontId="13" fillId="0" borderId="0" xfId="0" applyFont="1" applyAlignment="1">
      <alignment horizontal="center" vertical="center"/>
    </xf>
    <xf numFmtId="0" fontId="13" fillId="0" borderId="0" xfId="0" applyFont="1" applyAlignment="1">
      <alignment horizontal="center"/>
    </xf>
    <xf numFmtId="0" fontId="10" fillId="0" borderId="0" xfId="0" applyFont="1" applyAlignment="1">
      <alignment horizontal="center" vertical="center"/>
    </xf>
    <xf numFmtId="0" fontId="11" fillId="2" borderId="0" xfId="0" applyFont="1" applyFill="1"/>
    <xf numFmtId="0" fontId="1" fillId="2" borderId="0" xfId="0" applyFont="1" applyFill="1" applyAlignment="1">
      <alignment wrapText="1"/>
    </xf>
    <xf numFmtId="0" fontId="13" fillId="2" borderId="0" xfId="0" applyFont="1" applyFill="1"/>
    <xf numFmtId="0" fontId="0" fillId="0" borderId="0" xfId="0" applyAlignment="1">
      <alignment horizontal="left"/>
    </xf>
    <xf numFmtId="0" fontId="0" fillId="7" borderId="0" xfId="0" applyFill="1" applyAlignment="1">
      <alignment horizontal="left"/>
    </xf>
    <xf numFmtId="0" fontId="0" fillId="8" borderId="0" xfId="0" applyFill="1"/>
    <xf numFmtId="0" fontId="16" fillId="6" borderId="0" xfId="0" applyFont="1" applyFill="1"/>
    <xf numFmtId="0" fontId="13" fillId="0" borderId="0" xfId="0" applyFont="1" applyAlignment="1">
      <alignment horizontal="right" vertical="center"/>
    </xf>
    <xf numFmtId="0" fontId="13" fillId="0" borderId="0" xfId="0" applyFont="1" applyAlignment="1">
      <alignment horizontal="right"/>
    </xf>
    <xf numFmtId="0" fontId="10" fillId="0" borderId="0" xfId="0" applyFont="1" applyAlignment="1">
      <alignment horizontal="right"/>
    </xf>
    <xf numFmtId="0" fontId="18" fillId="0" borderId="0" xfId="0" applyFont="1"/>
    <xf numFmtId="1" fontId="19" fillId="0" borderId="0" xfId="0" applyNumberFormat="1" applyFont="1" applyAlignment="1">
      <alignment horizontal="center" vertical="center"/>
    </xf>
    <xf numFmtId="0" fontId="5" fillId="0" borderId="0" xfId="0" applyFont="1" applyAlignment="1">
      <alignment horizontal="center"/>
    </xf>
    <xf numFmtId="0" fontId="5" fillId="0" borderId="3" xfId="0" applyFont="1" applyBorder="1" applyAlignment="1">
      <alignment horizontal="right"/>
    </xf>
    <xf numFmtId="1" fontId="20" fillId="0" borderId="3" xfId="0" applyNumberFormat="1" applyFont="1" applyBorder="1" applyAlignment="1">
      <alignment horizontal="right" vertical="center"/>
    </xf>
    <xf numFmtId="1" fontId="13" fillId="0" borderId="3" xfId="0" applyNumberFormat="1" applyFont="1" applyBorder="1" applyAlignment="1">
      <alignment horizontal="right" vertical="center"/>
    </xf>
    <xf numFmtId="1" fontId="21" fillId="0" borderId="0" xfId="0" applyNumberFormat="1" applyFont="1" applyAlignment="1">
      <alignment horizontal="center" vertical="center"/>
    </xf>
    <xf numFmtId="0" fontId="2" fillId="0" borderId="0" xfId="0" applyFont="1" applyAlignment="1">
      <alignment horizontal="center"/>
    </xf>
    <xf numFmtId="0" fontId="2" fillId="0" borderId="3" xfId="0" applyFont="1" applyBorder="1" applyAlignment="1">
      <alignment horizontal="right"/>
    </xf>
    <xf numFmtId="1" fontId="13" fillId="0" borderId="3" xfId="0" applyNumberFormat="1" applyFont="1" applyBorder="1" applyAlignment="1">
      <alignment horizontal="center" vertical="center"/>
    </xf>
    <xf numFmtId="1" fontId="20" fillId="0" borderId="3" xfId="0" applyNumberFormat="1" applyFont="1" applyBorder="1" applyAlignment="1">
      <alignment horizontal="center" vertical="center"/>
    </xf>
    <xf numFmtId="0" fontId="23" fillId="0" borderId="0" xfId="0" applyFont="1"/>
    <xf numFmtId="0" fontId="24" fillId="0" borderId="0" xfId="0" applyFont="1" applyAlignment="1">
      <alignment horizontal="center"/>
    </xf>
    <xf numFmtId="0" fontId="25" fillId="0" borderId="0" xfId="0" applyFont="1" applyAlignment="1">
      <alignment horizontal="center"/>
    </xf>
    <xf numFmtId="0" fontId="25" fillId="0" borderId="0" xfId="0" applyFont="1" applyAlignment="1">
      <alignment horizontal="right"/>
    </xf>
    <xf numFmtId="0" fontId="18" fillId="0" borderId="0" xfId="0" applyFont="1" applyAlignment="1">
      <alignment horizontal="right"/>
    </xf>
    <xf numFmtId="1" fontId="0" fillId="0" borderId="0" xfId="0" applyNumberFormat="1"/>
    <xf numFmtId="1" fontId="0" fillId="0" borderId="0" xfId="0" applyNumberFormat="1" applyAlignment="1">
      <alignment horizontal="right"/>
    </xf>
    <xf numFmtId="1" fontId="15" fillId="0" borderId="0" xfId="0" applyNumberFormat="1" applyFont="1"/>
    <xf numFmtId="1" fontId="27" fillId="0" borderId="0" xfId="0" applyNumberFormat="1" applyFont="1"/>
    <xf numFmtId="1" fontId="20" fillId="0" borderId="0" xfId="0" applyNumberFormat="1" applyFont="1"/>
    <xf numFmtId="1" fontId="13" fillId="0" borderId="0" xfId="0" applyNumberFormat="1" applyFont="1"/>
    <xf numFmtId="0" fontId="28" fillId="0" borderId="0" xfId="0" applyFont="1"/>
    <xf numFmtId="3" fontId="28" fillId="0" borderId="0" xfId="0" applyNumberFormat="1" applyFont="1"/>
    <xf numFmtId="0" fontId="0" fillId="7" borderId="0" xfId="0" applyFill="1"/>
    <xf numFmtId="14" fontId="0" fillId="7" borderId="0" xfId="0" applyNumberFormat="1" applyFill="1"/>
    <xf numFmtId="0" fontId="13" fillId="7" borderId="0" xfId="0" applyFont="1" applyFill="1"/>
    <xf numFmtId="1" fontId="20" fillId="7" borderId="3" xfId="0" applyNumberFormat="1" applyFont="1" applyFill="1" applyBorder="1" applyAlignment="1">
      <alignment horizontal="right" vertical="center"/>
    </xf>
    <xf numFmtId="1" fontId="19" fillId="7" borderId="0" xfId="0" applyNumberFormat="1" applyFont="1" applyFill="1" applyAlignment="1">
      <alignment horizontal="center" vertical="center"/>
    </xf>
    <xf numFmtId="1" fontId="13" fillId="7" borderId="3" xfId="0" applyNumberFormat="1" applyFont="1" applyFill="1" applyBorder="1" applyAlignment="1">
      <alignment horizontal="center" vertical="center"/>
    </xf>
    <xf numFmtId="0" fontId="24" fillId="7" borderId="0" xfId="0" applyFont="1" applyFill="1" applyAlignment="1">
      <alignment horizontal="center"/>
    </xf>
    <xf numFmtId="0" fontId="25" fillId="7" borderId="0" xfId="0" applyFont="1" applyFill="1" applyAlignment="1">
      <alignment horizontal="center"/>
    </xf>
    <xf numFmtId="0" fontId="18" fillId="7" borderId="0" xfId="0" applyFont="1" applyFill="1" applyAlignment="1">
      <alignment horizontal="right"/>
    </xf>
    <xf numFmtId="0" fontId="10" fillId="7" borderId="0" xfId="0" applyFont="1" applyFill="1" applyAlignment="1">
      <alignment horizontal="right"/>
    </xf>
    <xf numFmtId="0" fontId="0" fillId="7" borderId="0" xfId="0" applyFill="1" applyAlignment="1">
      <alignment horizontal="right"/>
    </xf>
    <xf numFmtId="1" fontId="27" fillId="7" borderId="0" xfId="0" applyNumberFormat="1" applyFont="1" applyFill="1"/>
    <xf numFmtId="0" fontId="13" fillId="7" borderId="0" xfId="0" applyFont="1" applyFill="1" applyAlignment="1">
      <alignment horizontal="right"/>
    </xf>
    <xf numFmtId="1" fontId="20" fillId="7" borderId="0" xfId="0" applyNumberFormat="1" applyFont="1" applyFill="1"/>
    <xf numFmtId="1" fontId="21" fillId="7" borderId="0" xfId="0" applyNumberFormat="1" applyFont="1" applyFill="1" applyAlignment="1">
      <alignment horizontal="center" vertical="center"/>
    </xf>
    <xf numFmtId="1" fontId="20" fillId="7" borderId="3" xfId="0" applyNumberFormat="1" applyFont="1" applyFill="1" applyBorder="1" applyAlignment="1">
      <alignment horizontal="center" vertical="center"/>
    </xf>
    <xf numFmtId="0" fontId="10" fillId="7" borderId="0" xfId="0" applyFont="1" applyFill="1"/>
    <xf numFmtId="1" fontId="13" fillId="7" borderId="3" xfId="0" applyNumberFormat="1" applyFont="1" applyFill="1" applyBorder="1" applyAlignment="1">
      <alignment horizontal="right" vertical="center"/>
    </xf>
    <xf numFmtId="0" fontId="26" fillId="7" borderId="0" xfId="0" applyFont="1" applyFill="1" applyAlignment="1">
      <alignment horizontal="right"/>
    </xf>
    <xf numFmtId="0" fontId="28" fillId="7" borderId="0" xfId="0" applyFont="1" applyFill="1"/>
    <xf numFmtId="0" fontId="14" fillId="0" borderId="0" xfId="0" applyFont="1" applyAlignment="1">
      <alignment horizontal="center"/>
    </xf>
    <xf numFmtId="0" fontId="0" fillId="11" borderId="0" xfId="0" applyFill="1"/>
    <xf numFmtId="0" fontId="1" fillId="11" borderId="0" xfId="0" applyFont="1" applyFill="1"/>
    <xf numFmtId="0" fontId="14" fillId="0" borderId="0" xfId="0" applyFont="1"/>
    <xf numFmtId="0" fontId="16" fillId="12" borderId="0" xfId="0" applyFont="1" applyFill="1"/>
    <xf numFmtId="0" fontId="14" fillId="12" borderId="0" xfId="0" applyFont="1" applyFill="1"/>
    <xf numFmtId="0" fontId="29" fillId="0" borderId="0" xfId="0" applyFont="1" applyAlignment="1">
      <alignment horizontal="center"/>
    </xf>
    <xf numFmtId="0" fontId="29" fillId="0" borderId="0" xfId="0" applyFont="1" applyAlignment="1">
      <alignment horizontal="center" vertical="center"/>
    </xf>
    <xf numFmtId="0" fontId="30" fillId="0" borderId="0" xfId="0" applyFont="1"/>
    <xf numFmtId="0" fontId="30" fillId="7" borderId="0" xfId="0" applyFont="1" applyFill="1"/>
    <xf numFmtId="1" fontId="20" fillId="0" borderId="0" xfId="0" applyNumberFormat="1" applyFont="1" applyAlignment="1">
      <alignment horizontal="right" vertical="center"/>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0" fillId="0" borderId="9" xfId="0" applyBorder="1" applyAlignment="1">
      <alignment horizontal="center" vertical="center" wrapText="1"/>
    </xf>
    <xf numFmtId="0" fontId="9" fillId="0" borderId="10" xfId="0" applyFont="1" applyBorder="1" applyAlignment="1">
      <alignment horizontal="center" vertical="center" wrapText="1"/>
    </xf>
    <xf numFmtId="0" fontId="0" fillId="0" borderId="11" xfId="0" applyBorder="1" applyAlignment="1">
      <alignment horizontal="center" vertical="center" wrapText="1"/>
    </xf>
    <xf numFmtId="0" fontId="0" fillId="12" borderId="0" xfId="0" applyFill="1"/>
    <xf numFmtId="0" fontId="1" fillId="12" borderId="0" xfId="0" applyFont="1" applyFill="1"/>
    <xf numFmtId="0" fontId="0" fillId="12" borderId="0" xfId="0" applyFill="1" applyAlignment="1">
      <alignment horizontal="left"/>
    </xf>
    <xf numFmtId="0" fontId="33" fillId="13" borderId="0" xfId="0" applyFont="1" applyFill="1"/>
    <xf numFmtId="0" fontId="34" fillId="13" borderId="0" xfId="0" applyFont="1" applyFill="1"/>
    <xf numFmtId="0" fontId="35" fillId="13" borderId="0" xfId="0" applyFont="1" applyFill="1"/>
    <xf numFmtId="0" fontId="33" fillId="14" borderId="0" xfId="0" applyFont="1" applyFill="1"/>
    <xf numFmtId="0" fontId="33" fillId="14" borderId="0" xfId="0" applyFont="1" applyFill="1" applyAlignment="1">
      <alignment horizontal="center"/>
    </xf>
    <xf numFmtId="0" fontId="33" fillId="14" borderId="0" xfId="0" applyFont="1" applyFill="1" applyAlignment="1">
      <alignment wrapText="1"/>
    </xf>
    <xf numFmtId="0" fontId="33" fillId="14" borderId="2" xfId="0" applyFont="1" applyFill="1" applyBorder="1"/>
    <xf numFmtId="0" fontId="34" fillId="14" borderId="0" xfId="0" applyFont="1" applyFill="1"/>
    <xf numFmtId="0" fontId="17" fillId="7" borderId="0" xfId="0" applyFont="1" applyFill="1" applyAlignment="1">
      <alignment horizontal="center"/>
    </xf>
    <xf numFmtId="0" fontId="29" fillId="7" borderId="0" xfId="0" applyFont="1" applyFill="1" applyAlignment="1">
      <alignment vertical="center"/>
    </xf>
    <xf numFmtId="0" fontId="33" fillId="15" borderId="0" xfId="0" applyFont="1" applyFill="1"/>
    <xf numFmtId="0" fontId="33" fillId="15" borderId="0" xfId="0" applyFont="1" applyFill="1" applyAlignment="1">
      <alignment wrapText="1"/>
    </xf>
    <xf numFmtId="0" fontId="34" fillId="12" borderId="0" xfId="0" applyFont="1" applyFill="1" applyAlignment="1">
      <alignment horizontal="center"/>
    </xf>
    <xf numFmtId="0" fontId="34" fillId="12" borderId="0" xfId="0" applyFont="1" applyFill="1"/>
    <xf numFmtId="0" fontId="34" fillId="12" borderId="0" xfId="0" applyFont="1" applyFill="1" applyAlignment="1">
      <alignment horizontal="left"/>
    </xf>
    <xf numFmtId="14" fontId="0" fillId="12" borderId="0" xfId="0" applyNumberFormat="1" applyFill="1"/>
    <xf numFmtId="0" fontId="29" fillId="12" borderId="0" xfId="0" applyFont="1" applyFill="1"/>
    <xf numFmtId="0" fontId="29" fillId="12" borderId="0" xfId="0" applyFont="1" applyFill="1" applyAlignment="1">
      <alignment horizontal="right"/>
    </xf>
    <xf numFmtId="1" fontId="20" fillId="12" borderId="0" xfId="0" applyNumberFormat="1" applyFont="1" applyFill="1" applyAlignment="1">
      <alignment horizontal="right" vertical="center"/>
    </xf>
    <xf numFmtId="0" fontId="29" fillId="12" borderId="0" xfId="0" applyFont="1" applyFill="1" applyAlignment="1">
      <alignment horizontal="center"/>
    </xf>
    <xf numFmtId="1" fontId="20" fillId="12" borderId="0" xfId="0" applyNumberFormat="1" applyFont="1" applyFill="1" applyAlignment="1">
      <alignment horizontal="center" vertical="center"/>
    </xf>
    <xf numFmtId="0" fontId="3" fillId="12" borderId="0" xfId="0" applyFont="1" applyFill="1" applyAlignment="1">
      <alignment horizontal="center"/>
    </xf>
    <xf numFmtId="0" fontId="4" fillId="12" borderId="0" xfId="0" applyFont="1" applyFill="1" applyAlignment="1">
      <alignment horizontal="center"/>
    </xf>
    <xf numFmtId="0" fontId="0" fillId="12" borderId="0" xfId="0" applyFill="1" applyAlignment="1">
      <alignment horizontal="right"/>
    </xf>
    <xf numFmtId="1" fontId="37" fillId="12" borderId="0" xfId="0" applyNumberFormat="1" applyFont="1" applyFill="1"/>
    <xf numFmtId="1" fontId="20" fillId="12" borderId="0" xfId="0" applyNumberFormat="1" applyFont="1" applyFill="1"/>
    <xf numFmtId="0" fontId="13" fillId="12" borderId="0" xfId="0" applyFont="1" applyFill="1"/>
    <xf numFmtId="0" fontId="38" fillId="0" borderId="13" xfId="0" applyFont="1" applyBorder="1" applyAlignment="1">
      <alignment horizontal="center" vertical="center" wrapText="1"/>
    </xf>
    <xf numFmtId="0" fontId="9" fillId="16" borderId="13" xfId="0" applyFont="1" applyFill="1" applyBorder="1" applyAlignment="1">
      <alignment horizontal="center" vertical="center" wrapText="1"/>
    </xf>
    <xf numFmtId="0" fontId="13" fillId="16" borderId="13" xfId="0" applyFont="1" applyFill="1" applyBorder="1" applyAlignment="1">
      <alignment horizontal="center" vertical="center" wrapText="1"/>
    </xf>
    <xf numFmtId="0" fontId="10" fillId="16" borderId="13" xfId="0" applyFont="1" applyFill="1" applyBorder="1" applyAlignment="1">
      <alignment horizontal="center" vertical="center" wrapText="1"/>
    </xf>
    <xf numFmtId="0" fontId="0" fillId="16" borderId="13" xfId="0" applyFill="1" applyBorder="1" applyAlignment="1">
      <alignment horizontal="center" vertical="center" wrapText="1"/>
    </xf>
    <xf numFmtId="1" fontId="13" fillId="16" borderId="13" xfId="0" applyNumberFormat="1" applyFont="1" applyFill="1" applyBorder="1" applyAlignment="1">
      <alignment horizontal="center" vertical="center" wrapText="1"/>
    </xf>
    <xf numFmtId="1" fontId="13" fillId="16" borderId="13" xfId="0" applyNumberFormat="1" applyFont="1" applyFill="1" applyBorder="1" applyAlignment="1">
      <alignment vertical="center" wrapText="1"/>
    </xf>
    <xf numFmtId="1" fontId="0" fillId="16" borderId="13" xfId="0" applyNumberFormat="1" applyFill="1" applyBorder="1" applyAlignment="1">
      <alignment horizontal="center" vertical="center" wrapText="1"/>
    </xf>
    <xf numFmtId="1" fontId="0" fillId="16" borderId="13" xfId="0" applyNumberFormat="1" applyFill="1" applyBorder="1" applyAlignment="1">
      <alignment vertical="center" wrapText="1"/>
    </xf>
    <xf numFmtId="1" fontId="10" fillId="16" borderId="13" xfId="0" applyNumberFormat="1" applyFont="1" applyFill="1" applyBorder="1" applyAlignment="1">
      <alignment horizontal="center" vertical="center" wrapText="1"/>
    </xf>
    <xf numFmtId="0" fontId="0" fillId="16" borderId="13" xfId="0" applyFill="1" applyBorder="1" applyAlignment="1">
      <alignment vertical="center" wrapText="1"/>
    </xf>
    <xf numFmtId="0" fontId="13" fillId="16" borderId="13" xfId="0" applyFont="1" applyFill="1" applyBorder="1" applyAlignment="1">
      <alignment wrapText="1"/>
    </xf>
    <xf numFmtId="0" fontId="34" fillId="16" borderId="13" xfId="0" applyFont="1" applyFill="1" applyBorder="1" applyAlignment="1">
      <alignment wrapText="1"/>
    </xf>
    <xf numFmtId="16" fontId="0" fillId="0" borderId="0" xfId="0" applyNumberForma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3" fillId="0" borderId="0" xfId="0" applyFont="1" applyAlignment="1">
      <alignment horizontal="left"/>
    </xf>
    <xf numFmtId="0" fontId="0" fillId="0" borderId="0" xfId="0" quotePrefix="1"/>
    <xf numFmtId="0" fontId="39" fillId="0" borderId="0" xfId="1"/>
    <xf numFmtId="0" fontId="10" fillId="0" borderId="0" xfId="0" applyFont="1" applyAlignment="1">
      <alignment horizontal="left"/>
    </xf>
    <xf numFmtId="0" fontId="40" fillId="16" borderId="13" xfId="0" applyFont="1" applyFill="1" applyBorder="1" applyAlignment="1">
      <alignment horizontal="center" vertical="center" wrapText="1"/>
    </xf>
    <xf numFmtId="0" fontId="0" fillId="7" borderId="0" xfId="0" applyFill="1" applyAlignment="1">
      <alignment vertical="center"/>
    </xf>
    <xf numFmtId="0" fontId="0" fillId="7" borderId="0" xfId="0" applyFill="1" applyAlignment="1">
      <alignment horizontal="center" vertical="center"/>
    </xf>
    <xf numFmtId="0" fontId="8" fillId="7" borderId="0" xfId="0" applyFont="1" applyFill="1" applyAlignment="1">
      <alignment wrapText="1"/>
    </xf>
    <xf numFmtId="0" fontId="9" fillId="7" borderId="0" xfId="0" applyFont="1" applyFill="1" applyAlignment="1">
      <alignment horizontal="center" vertical="center"/>
    </xf>
    <xf numFmtId="0" fontId="8" fillId="7" borderId="0" xfId="0" applyFont="1" applyFill="1" applyAlignment="1">
      <alignment horizontal="left" vertical="center" wrapText="1"/>
    </xf>
    <xf numFmtId="0" fontId="8" fillId="7" borderId="0" xfId="0" applyFont="1" applyFill="1" applyAlignment="1">
      <alignment vertical="center" wrapText="1"/>
    </xf>
    <xf numFmtId="0" fontId="0" fillId="0" borderId="1" xfId="0" applyBorder="1" applyAlignment="1">
      <alignment vertical="center" wrapText="1"/>
    </xf>
    <xf numFmtId="0" fontId="9" fillId="7" borderId="0" xfId="0" applyFont="1" applyFill="1" applyAlignment="1">
      <alignment horizontal="left" vertical="center"/>
    </xf>
    <xf numFmtId="0" fontId="9" fillId="4" borderId="0" xfId="0" applyFont="1" applyFill="1"/>
    <xf numFmtId="0" fontId="22" fillId="0" borderId="0" xfId="0" applyFont="1" applyAlignment="1">
      <alignment horizontal="right" vertical="center"/>
    </xf>
    <xf numFmtId="0" fontId="10" fillId="0" borderId="0" xfId="0" applyFont="1" applyAlignment="1">
      <alignment horizontal="center"/>
    </xf>
    <xf numFmtId="0" fontId="30" fillId="0" borderId="0" xfId="0" applyFont="1" applyAlignment="1">
      <alignment horizontal="center"/>
    </xf>
    <xf numFmtId="0" fontId="30" fillId="0" borderId="0" xfId="0" applyFont="1" applyAlignment="1">
      <alignment horizontal="center" vertical="center"/>
    </xf>
    <xf numFmtId="0" fontId="15" fillId="0" borderId="0" xfId="0" applyFont="1" applyAlignment="1">
      <alignment horizontal="center"/>
    </xf>
    <xf numFmtId="0" fontId="38" fillId="0" borderId="13" xfId="0" applyFont="1" applyBorder="1" applyAlignment="1">
      <alignment horizontal="center" vertical="center"/>
    </xf>
    <xf numFmtId="0" fontId="9" fillId="17" borderId="13" xfId="0" applyFont="1" applyFill="1" applyBorder="1" applyAlignment="1">
      <alignment horizontal="center" vertical="center"/>
    </xf>
    <xf numFmtId="0" fontId="0" fillId="17" borderId="13" xfId="0" applyFill="1" applyBorder="1" applyAlignment="1">
      <alignment horizontal="center" vertical="center"/>
    </xf>
    <xf numFmtId="0" fontId="10" fillId="17" borderId="13" xfId="0" applyFont="1" applyFill="1" applyBorder="1" applyAlignment="1">
      <alignment horizontal="center" vertical="center"/>
    </xf>
    <xf numFmtId="1" fontId="0" fillId="17" borderId="13" xfId="0" applyNumberFormat="1" applyFill="1" applyBorder="1" applyAlignment="1">
      <alignment horizontal="center" vertical="center"/>
    </xf>
    <xf numFmtId="0" fontId="0" fillId="17" borderId="13" xfId="0" applyFill="1" applyBorder="1" applyAlignment="1">
      <alignment horizontal="left" vertical="center"/>
    </xf>
    <xf numFmtId="0" fontId="13" fillId="17" borderId="13" xfId="0" applyFont="1" applyFill="1" applyBorder="1" applyAlignment="1">
      <alignment horizontal="center" vertical="center"/>
    </xf>
    <xf numFmtId="1" fontId="10" fillId="17" borderId="13" xfId="0" applyNumberFormat="1" applyFont="1" applyFill="1" applyBorder="1" applyAlignment="1">
      <alignment horizontal="left" vertical="center"/>
    </xf>
    <xf numFmtId="0" fontId="9" fillId="17" borderId="12" xfId="0" applyFont="1" applyFill="1" applyBorder="1" applyAlignment="1">
      <alignment horizontal="center" vertical="center"/>
    </xf>
    <xf numFmtId="0" fontId="0" fillId="17" borderId="12" xfId="0" applyFill="1" applyBorder="1" applyAlignment="1">
      <alignment horizontal="center" vertical="center"/>
    </xf>
    <xf numFmtId="0" fontId="34" fillId="17" borderId="12" xfId="0" applyFont="1" applyFill="1" applyBorder="1"/>
    <xf numFmtId="0" fontId="9" fillId="16" borderId="12" xfId="0" applyFont="1" applyFill="1" applyBorder="1" applyAlignment="1">
      <alignment horizontal="center" vertical="center" wrapText="1"/>
    </xf>
    <xf numFmtId="0" fontId="13" fillId="16" borderId="12" xfId="0" applyFont="1" applyFill="1" applyBorder="1" applyAlignment="1">
      <alignment horizontal="center" vertical="center" wrapText="1"/>
    </xf>
    <xf numFmtId="0" fontId="0" fillId="16" borderId="12" xfId="0" applyFill="1" applyBorder="1" applyAlignment="1">
      <alignment horizontal="center" vertical="center" wrapText="1"/>
    </xf>
    <xf numFmtId="0" fontId="0" fillId="16" borderId="12" xfId="0" applyFill="1" applyBorder="1" applyAlignment="1">
      <alignment vertical="center" wrapText="1"/>
    </xf>
    <xf numFmtId="0" fontId="34" fillId="16" borderId="12" xfId="0" applyFont="1" applyFill="1" applyBorder="1" applyAlignment="1">
      <alignment vertical="center" wrapText="1"/>
    </xf>
    <xf numFmtId="0" fontId="0" fillId="9" borderId="0" xfId="0" applyFill="1"/>
    <xf numFmtId="0" fontId="0" fillId="18" borderId="0" xfId="0" applyFill="1"/>
    <xf numFmtId="0" fontId="31" fillId="0" borderId="0" xfId="0" applyFont="1"/>
    <xf numFmtId="0" fontId="9" fillId="0" borderId="16" xfId="0" applyFont="1" applyBorder="1"/>
    <xf numFmtId="0" fontId="9" fillId="0" borderId="17" xfId="0" applyFont="1" applyBorder="1"/>
    <xf numFmtId="0" fontId="9" fillId="0" borderId="18" xfId="0" applyFont="1" applyBorder="1"/>
    <xf numFmtId="0" fontId="9" fillId="0" borderId="14" xfId="0" applyFont="1" applyBorder="1" applyAlignment="1">
      <alignment horizontal="left"/>
    </xf>
    <xf numFmtId="0" fontId="30" fillId="0" borderId="20" xfId="0" applyFont="1" applyBorder="1"/>
    <xf numFmtId="0" fontId="31" fillId="0" borderId="20" xfId="0" applyFont="1" applyBorder="1"/>
    <xf numFmtId="0" fontId="0" fillId="0" borderId="23" xfId="0" applyBorder="1"/>
    <xf numFmtId="0" fontId="31" fillId="0" borderId="23" xfId="0" applyFont="1" applyBorder="1"/>
    <xf numFmtId="0" fontId="30" fillId="0" borderId="23" xfId="0" applyFont="1" applyBorder="1"/>
    <xf numFmtId="0" fontId="32" fillId="0" borderId="23" xfId="0" applyFont="1" applyBorder="1"/>
    <xf numFmtId="0" fontId="0" fillId="8" borderId="23" xfId="0" applyFill="1" applyBorder="1"/>
    <xf numFmtId="0" fontId="0" fillId="0" borderId="26" xfId="0" applyBorder="1"/>
    <xf numFmtId="0" fontId="0" fillId="0" borderId="29" xfId="0" applyBorder="1"/>
    <xf numFmtId="0" fontId="31" fillId="0" borderId="29" xfId="0" applyFont="1" applyBorder="1"/>
    <xf numFmtId="14" fontId="0" fillId="0" borderId="23" xfId="0" applyNumberFormat="1" applyBorder="1"/>
    <xf numFmtId="0" fontId="0" fillId="0" borderId="22" xfId="0" applyBorder="1" applyAlignment="1">
      <alignment horizontal="left"/>
    </xf>
    <xf numFmtId="0" fontId="0" fillId="0" borderId="31" xfId="0" applyBorder="1"/>
    <xf numFmtId="0" fontId="0" fillId="12" borderId="23" xfId="0" applyFill="1" applyBorder="1"/>
    <xf numFmtId="0" fontId="0" fillId="0" borderId="22" xfId="0" applyBorder="1"/>
    <xf numFmtId="0" fontId="0" fillId="8" borderId="33" xfId="0" applyFill="1" applyBorder="1"/>
    <xf numFmtId="0" fontId="0" fillId="0" borderId="33" xfId="0" applyBorder="1"/>
    <xf numFmtId="0" fontId="43" fillId="0" borderId="34" xfId="0" applyFont="1" applyBorder="1"/>
    <xf numFmtId="0" fontId="0" fillId="0" borderId="19" xfId="0" applyBorder="1" applyAlignment="1">
      <alignment horizontal="left"/>
    </xf>
    <xf numFmtId="0" fontId="0" fillId="0" borderId="20" xfId="0" applyBorder="1"/>
    <xf numFmtId="14" fontId="0" fillId="0" borderId="20" xfId="0" applyNumberFormat="1" applyBorder="1"/>
    <xf numFmtId="0" fontId="0" fillId="0" borderId="25" xfId="0" applyBorder="1" applyAlignment="1">
      <alignment horizontal="left"/>
    </xf>
    <xf numFmtId="14" fontId="0" fillId="0" borderId="26" xfId="0" applyNumberFormat="1" applyBorder="1"/>
    <xf numFmtId="0" fontId="0" fillId="0" borderId="35" xfId="0" applyBorder="1"/>
    <xf numFmtId="0" fontId="15" fillId="0" borderId="0" xfId="0" applyFont="1"/>
    <xf numFmtId="1" fontId="44" fillId="0" borderId="0" xfId="0" applyNumberFormat="1" applyFont="1" applyAlignment="1">
      <alignment horizontal="center" vertical="center"/>
    </xf>
    <xf numFmtId="0" fontId="17" fillId="0" borderId="0" xfId="0" applyFont="1" applyAlignment="1">
      <alignment horizontal="center"/>
    </xf>
    <xf numFmtId="0" fontId="15" fillId="0" borderId="0" xfId="0" applyFont="1" applyAlignment="1">
      <alignment horizontal="right"/>
    </xf>
    <xf numFmtId="0" fontId="45" fillId="0" borderId="0" xfId="0" applyFont="1" applyAlignment="1">
      <alignment horizontal="right"/>
    </xf>
    <xf numFmtId="0" fontId="21" fillId="0" borderId="0" xfId="0" applyFont="1" applyAlignment="1">
      <alignment horizontal="right"/>
    </xf>
    <xf numFmtId="0" fontId="28" fillId="0" borderId="0" xfId="0" applyFont="1" applyAlignment="1">
      <alignment horizontal="right"/>
    </xf>
    <xf numFmtId="164" fontId="10" fillId="0" borderId="20" xfId="0" applyNumberFormat="1" applyFont="1" applyBorder="1"/>
    <xf numFmtId="164" fontId="10" fillId="0" borderId="23" xfId="0" applyNumberFormat="1" applyFont="1" applyBorder="1"/>
    <xf numFmtId="164" fontId="10" fillId="0" borderId="26" xfId="0" applyNumberFormat="1" applyFont="1" applyBorder="1"/>
    <xf numFmtId="0" fontId="0" fillId="20" borderId="0" xfId="0" applyFill="1"/>
    <xf numFmtId="0" fontId="0" fillId="20" borderId="21" xfId="0" applyFill="1" applyBorder="1"/>
    <xf numFmtId="0" fontId="0" fillId="20" borderId="24" xfId="0" applyFill="1" applyBorder="1"/>
    <xf numFmtId="0" fontId="0" fillId="20" borderId="27" xfId="0" applyFill="1" applyBorder="1"/>
    <xf numFmtId="0" fontId="42" fillId="0" borderId="0" xfId="0" applyFont="1" applyAlignment="1">
      <alignment horizontal="center" vertical="center"/>
    </xf>
    <xf numFmtId="0" fontId="9" fillId="16" borderId="3" xfId="0" applyFont="1" applyFill="1" applyBorder="1" applyAlignment="1">
      <alignment horizontal="center" vertical="center" wrapText="1"/>
    </xf>
    <xf numFmtId="0" fontId="0" fillId="0" borderId="37" xfId="0" applyBorder="1"/>
    <xf numFmtId="0" fontId="9" fillId="0" borderId="0" xfId="0" applyFont="1" applyAlignment="1">
      <alignment horizontal="left"/>
    </xf>
    <xf numFmtId="0" fontId="15" fillId="0" borderId="0" xfId="0" applyFont="1" applyAlignment="1">
      <alignment horizontal="center" vertical="center"/>
    </xf>
    <xf numFmtId="0" fontId="31" fillId="16" borderId="20" xfId="0" applyFont="1" applyFill="1" applyBorder="1"/>
    <xf numFmtId="0" fontId="31" fillId="16" borderId="23" xfId="0" applyFont="1" applyFill="1" applyBorder="1"/>
    <xf numFmtId="0" fontId="0" fillId="16" borderId="23" xfId="0" applyFill="1" applyBorder="1"/>
    <xf numFmtId="0" fontId="0" fillId="16" borderId="37" xfId="0" applyFill="1" applyBorder="1"/>
    <xf numFmtId="0" fontId="0" fillId="16" borderId="0" xfId="0" applyFill="1"/>
    <xf numFmtId="0" fontId="0" fillId="21" borderId="0" xfId="0" applyFill="1"/>
    <xf numFmtId="0" fontId="0" fillId="10" borderId="0" xfId="0" applyFill="1"/>
    <xf numFmtId="0" fontId="31" fillId="8" borderId="23" xfId="0" applyFont="1" applyFill="1" applyBorder="1"/>
    <xf numFmtId="0" fontId="0" fillId="18" borderId="23" xfId="0" applyFill="1" applyBorder="1"/>
    <xf numFmtId="0" fontId="0" fillId="18" borderId="26" xfId="0" applyFill="1" applyBorder="1"/>
    <xf numFmtId="0" fontId="0" fillId="16" borderId="26" xfId="0" applyFill="1" applyBorder="1"/>
    <xf numFmtId="0" fontId="9" fillId="0" borderId="19" xfId="0" applyFont="1" applyBorder="1" applyAlignment="1">
      <alignment horizontal="left"/>
    </xf>
    <xf numFmtId="0" fontId="9" fillId="0" borderId="22" xfId="0" applyFont="1" applyBorder="1" applyAlignment="1">
      <alignment horizontal="left"/>
    </xf>
    <xf numFmtId="0" fontId="9" fillId="0" borderId="22" xfId="0" applyFont="1" applyBorder="1"/>
    <xf numFmtId="0" fontId="9" fillId="0" borderId="25" xfId="0" applyFont="1" applyBorder="1" applyAlignment="1">
      <alignment horizontal="left"/>
    </xf>
    <xf numFmtId="0" fontId="9" fillId="0" borderId="28" xfId="0" applyFont="1" applyBorder="1" applyAlignment="1">
      <alignment horizontal="left"/>
    </xf>
    <xf numFmtId="0" fontId="9" fillId="0" borderId="36" xfId="0" applyFont="1" applyBorder="1" applyAlignment="1">
      <alignment horizontal="left"/>
    </xf>
    <xf numFmtId="0" fontId="0" fillId="18" borderId="37" xfId="0" applyFill="1" applyBorder="1"/>
    <xf numFmtId="0" fontId="42" fillId="0" borderId="0" xfId="0" applyFont="1" applyAlignment="1">
      <alignment horizontal="center"/>
    </xf>
    <xf numFmtId="0" fontId="26" fillId="0" borderId="0" xfId="0" applyFont="1" applyAlignment="1">
      <alignment horizontal="right"/>
    </xf>
    <xf numFmtId="0" fontId="1" fillId="5" borderId="0" xfId="0" applyFont="1" applyFill="1" applyAlignment="1">
      <alignment vertical="center"/>
    </xf>
    <xf numFmtId="16" fontId="0" fillId="0" borderId="0" xfId="0" applyNumberFormat="1" applyAlignment="1">
      <alignment horizontal="center" vertical="center"/>
    </xf>
    <xf numFmtId="0" fontId="47" fillId="0" borderId="24" xfId="0" applyFont="1" applyBorder="1"/>
    <xf numFmtId="0" fontId="0" fillId="0" borderId="39" xfId="0" applyBorder="1" applyAlignment="1">
      <alignment horizontal="left"/>
    </xf>
    <xf numFmtId="0" fontId="0" fillId="0" borderId="40" xfId="0" applyBorder="1"/>
    <xf numFmtId="0" fontId="30" fillId="0" borderId="0" xfId="0" applyFont="1" applyAlignment="1">
      <alignment horizontal="right"/>
    </xf>
    <xf numFmtId="0" fontId="51" fillId="0" borderId="0" xfId="0" applyFont="1" applyAlignment="1">
      <alignment horizontal="right"/>
    </xf>
    <xf numFmtId="0" fontId="52" fillId="0" borderId="0" xfId="0" applyFont="1" applyAlignment="1">
      <alignment horizontal="right"/>
    </xf>
    <xf numFmtId="0" fontId="0" fillId="0" borderId="24" xfId="0" applyBorder="1"/>
    <xf numFmtId="0" fontId="31" fillId="16" borderId="0" xfId="0" applyFont="1" applyFill="1"/>
    <xf numFmtId="0" fontId="31" fillId="16" borderId="29" xfId="0" applyFont="1" applyFill="1" applyBorder="1"/>
    <xf numFmtId="0" fontId="31" fillId="22" borderId="23" xfId="0" applyFont="1" applyFill="1" applyBorder="1"/>
    <xf numFmtId="0" fontId="29" fillId="0" borderId="0" xfId="0" applyFont="1" applyAlignment="1">
      <alignment horizontal="right"/>
    </xf>
    <xf numFmtId="0" fontId="10" fillId="0" borderId="0" xfId="0" applyFont="1" applyAlignment="1">
      <alignment horizontal="right" vertical="center"/>
    </xf>
    <xf numFmtId="0" fontId="13" fillId="0" borderId="0" xfId="0" applyFont="1" applyAlignment="1">
      <alignment horizontal="left" vertical="center"/>
    </xf>
    <xf numFmtId="0" fontId="10" fillId="0" borderId="0" xfId="0" applyFont="1" applyAlignment="1">
      <alignment horizontal="left" vertical="center"/>
    </xf>
    <xf numFmtId="0" fontId="48" fillId="0" borderId="0" xfId="0" applyFont="1" applyAlignment="1">
      <alignment horizontal="center"/>
    </xf>
    <xf numFmtId="0" fontId="49" fillId="0" borderId="0" xfId="0" applyFont="1" applyAlignment="1">
      <alignment horizontal="center"/>
    </xf>
    <xf numFmtId="0" fontId="50" fillId="0" borderId="0" xfId="0" applyFont="1"/>
    <xf numFmtId="0" fontId="31" fillId="21" borderId="23" xfId="0" applyFont="1" applyFill="1" applyBorder="1"/>
    <xf numFmtId="0" fontId="31" fillId="21" borderId="0" xfId="0" applyFont="1" applyFill="1"/>
    <xf numFmtId="0" fontId="31" fillId="21" borderId="29" xfId="0" applyFont="1" applyFill="1" applyBorder="1"/>
    <xf numFmtId="0" fontId="0" fillId="0" borderId="21" xfId="0" applyBorder="1"/>
    <xf numFmtId="0" fontId="31" fillId="0" borderId="24" xfId="0" applyFont="1" applyBorder="1"/>
    <xf numFmtId="0" fontId="32" fillId="0" borderId="24" xfId="0" applyFont="1" applyBorder="1"/>
    <xf numFmtId="0" fontId="0" fillId="0" borderId="27" xfId="0" applyBorder="1"/>
    <xf numFmtId="0" fontId="0" fillId="0" borderId="15" xfId="0" applyBorder="1"/>
    <xf numFmtId="0" fontId="0" fillId="0" borderId="30" xfId="0" applyBorder="1"/>
    <xf numFmtId="0" fontId="0" fillId="0" borderId="38" xfId="0" applyBorder="1"/>
    <xf numFmtId="0" fontId="0" fillId="23" borderId="23" xfId="0" applyFill="1" applyBorder="1"/>
    <xf numFmtId="0" fontId="0" fillId="23" borderId="33" xfId="0" applyFill="1" applyBorder="1"/>
    <xf numFmtId="0" fontId="0" fillId="23" borderId="26" xfId="0" applyFill="1" applyBorder="1"/>
    <xf numFmtId="0" fontId="0" fillId="23" borderId="20" xfId="0" applyFill="1" applyBorder="1"/>
    <xf numFmtId="0" fontId="0" fillId="23" borderId="32" xfId="0" applyFill="1" applyBorder="1"/>
    <xf numFmtId="0" fontId="9" fillId="4" borderId="0" xfId="0" applyFont="1" applyFill="1" applyAlignment="1">
      <alignment wrapText="1"/>
    </xf>
    <xf numFmtId="0" fontId="29" fillId="0" borderId="0" xfId="0" applyFont="1"/>
    <xf numFmtId="0" fontId="54" fillId="0" borderId="0" xfId="0" applyFont="1"/>
    <xf numFmtId="0" fontId="17" fillId="0" borderId="0" xfId="0" applyFont="1"/>
    <xf numFmtId="0" fontId="55" fillId="0" borderId="0" xfId="0" applyFont="1"/>
    <xf numFmtId="0" fontId="1" fillId="16" borderId="0" xfId="0" applyFont="1" applyFill="1"/>
    <xf numFmtId="0" fontId="42" fillId="16" borderId="0" xfId="0" applyFont="1" applyFill="1" applyAlignment="1">
      <alignment horizontal="center" vertical="center"/>
    </xf>
    <xf numFmtId="0" fontId="53" fillId="16" borderId="0" xfId="0" applyFont="1" applyFill="1" applyAlignment="1">
      <alignment horizontal="right" vertical="center"/>
    </xf>
    <xf numFmtId="0" fontId="0" fillId="16" borderId="0" xfId="0" applyFill="1" applyAlignment="1">
      <alignment horizontal="center" vertical="center"/>
    </xf>
    <xf numFmtId="0" fontId="30" fillId="16" borderId="0" xfId="0" applyFont="1" applyFill="1" applyAlignment="1">
      <alignment horizontal="center" vertical="center"/>
    </xf>
    <xf numFmtId="0" fontId="10" fillId="16" borderId="0" xfId="0" applyFont="1" applyFill="1" applyAlignment="1">
      <alignment horizontal="center" vertical="center"/>
    </xf>
    <xf numFmtId="0" fontId="0" fillId="16" borderId="0" xfId="0" applyFill="1" applyAlignment="1">
      <alignment horizontal="center"/>
    </xf>
    <xf numFmtId="0" fontId="10" fillId="16" borderId="0" xfId="0" applyFont="1" applyFill="1" applyAlignment="1">
      <alignment horizontal="center"/>
    </xf>
    <xf numFmtId="0" fontId="30" fillId="16" borderId="0" xfId="0" applyFont="1" applyFill="1" applyAlignment="1">
      <alignment horizontal="center"/>
    </xf>
    <xf numFmtId="0" fontId="15" fillId="16" borderId="0" xfId="0" applyFont="1" applyFill="1" applyAlignment="1">
      <alignment horizontal="center"/>
    </xf>
    <xf numFmtId="0" fontId="42" fillId="0" borderId="0" xfId="0" applyFont="1" applyAlignment="1">
      <alignment horizontal="right"/>
    </xf>
    <xf numFmtId="0" fontId="1" fillId="0" borderId="0" xfId="0" applyFont="1" applyAlignment="1">
      <alignment vertical="center"/>
    </xf>
    <xf numFmtId="0" fontId="13" fillId="0" borderId="0" xfId="0" applyFont="1" applyAlignment="1">
      <alignment vertical="center"/>
    </xf>
    <xf numFmtId="0" fontId="53" fillId="0" borderId="0" xfId="0" applyFont="1" applyAlignment="1">
      <alignment horizontal="center"/>
    </xf>
    <xf numFmtId="0" fontId="21" fillId="0" borderId="0" xfId="0" applyFont="1" applyAlignment="1">
      <alignment horizontal="center" vertical="center"/>
    </xf>
    <xf numFmtId="0" fontId="21" fillId="0" borderId="0" xfId="0" applyFont="1" applyAlignment="1">
      <alignment horizontal="center"/>
    </xf>
    <xf numFmtId="0" fontId="38" fillId="0" borderId="0" xfId="0" applyFont="1"/>
    <xf numFmtId="0" fontId="56" fillId="0" borderId="0" xfId="0" applyFont="1" applyAlignment="1">
      <alignment horizontal="center"/>
    </xf>
    <xf numFmtId="1" fontId="21" fillId="0" borderId="0" xfId="0" applyNumberFormat="1" applyFont="1" applyAlignment="1">
      <alignment horizontal="right" vertical="center"/>
    </xf>
    <xf numFmtId="164" fontId="10" fillId="3" borderId="23" xfId="0" applyNumberFormat="1" applyFont="1" applyFill="1" applyBorder="1"/>
    <xf numFmtId="0" fontId="9" fillId="3" borderId="0" xfId="0" applyFont="1" applyFill="1"/>
    <xf numFmtId="0" fontId="9" fillId="0" borderId="0" xfId="0" applyFont="1" applyAlignment="1">
      <alignment horizontal="center"/>
    </xf>
    <xf numFmtId="0" fontId="1" fillId="11" borderId="0" xfId="0" applyFont="1" applyFill="1" applyAlignment="1">
      <alignment horizontal="center"/>
    </xf>
    <xf numFmtId="0" fontId="14" fillId="9" borderId="0" xfId="0" applyFont="1" applyFill="1" applyAlignment="1">
      <alignment horizontal="center"/>
    </xf>
    <xf numFmtId="0" fontId="33" fillId="13" borderId="0" xfId="0" applyFont="1" applyFill="1" applyAlignment="1">
      <alignment horizontal="center"/>
    </xf>
    <xf numFmtId="0" fontId="1"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0" fillId="7" borderId="0" xfId="0" applyFill="1" applyAlignment="1">
      <alignment horizontal="center"/>
    </xf>
    <xf numFmtId="0" fontId="1" fillId="2" borderId="0" xfId="0" applyFont="1" applyFill="1" applyAlignment="1">
      <alignment horizontal="center"/>
    </xf>
    <xf numFmtId="1" fontId="13" fillId="7" borderId="0" xfId="0" applyNumberFormat="1" applyFont="1" applyFill="1" applyAlignment="1">
      <alignment horizontal="right" vertical="center"/>
    </xf>
    <xf numFmtId="1" fontId="20" fillId="7" borderId="0" xfId="0" applyNumberFormat="1" applyFont="1" applyFill="1" applyAlignment="1">
      <alignment horizontal="center" vertical="center"/>
    </xf>
    <xf numFmtId="0" fontId="15" fillId="0" borderId="0" xfId="0" applyFont="1" applyAlignment="1">
      <alignment horizontal="right" vertical="center"/>
    </xf>
    <xf numFmtId="0" fontId="15" fillId="0" borderId="0" xfId="0" applyFont="1" applyAlignment="1">
      <alignment horizontal="left" vertical="center"/>
    </xf>
    <xf numFmtId="0" fontId="53" fillId="16" borderId="0" xfId="0" applyFont="1" applyFill="1" applyAlignment="1">
      <alignment horizontal="left"/>
    </xf>
    <xf numFmtId="0" fontId="15" fillId="0" borderId="0" xfId="0" applyFont="1" applyAlignment="1">
      <alignment horizontal="left"/>
    </xf>
    <xf numFmtId="0" fontId="29" fillId="0" borderId="0" xfId="0" applyFont="1" applyAlignment="1">
      <alignment vertical="center"/>
    </xf>
    <xf numFmtId="0" fontId="53" fillId="0" borderId="0" xfId="0" applyFont="1"/>
    <xf numFmtId="0" fontId="27" fillId="0" borderId="0" xfId="0" applyFont="1" applyAlignment="1">
      <alignment horizontal="center"/>
    </xf>
    <xf numFmtId="0" fontId="58" fillId="0" borderId="0" xfId="0" applyFont="1" applyAlignment="1">
      <alignment horizontal="center"/>
    </xf>
    <xf numFmtId="0" fontId="59" fillId="0" borderId="0" xfId="0" applyFont="1" applyAlignment="1">
      <alignment horizontal="right"/>
    </xf>
    <xf numFmtId="0" fontId="55" fillId="0" borderId="0" xfId="0" applyFont="1" applyAlignment="1">
      <alignment horizontal="left"/>
    </xf>
    <xf numFmtId="1" fontId="20" fillId="0" borderId="0" xfId="0" applyNumberFormat="1" applyFont="1" applyAlignment="1">
      <alignment horizontal="right"/>
    </xf>
    <xf numFmtId="0" fontId="13" fillId="10" borderId="0" xfId="0" applyFont="1" applyFill="1"/>
    <xf numFmtId="0" fontId="60" fillId="0" borderId="0" xfId="0" applyFont="1" applyAlignment="1">
      <alignment horizontal="center"/>
    </xf>
    <xf numFmtId="1" fontId="27" fillId="0" borderId="0" xfId="0" applyNumberFormat="1" applyFont="1" applyAlignment="1">
      <alignment horizontal="center"/>
    </xf>
    <xf numFmtId="1" fontId="15" fillId="0" borderId="0" xfId="0" applyNumberFormat="1" applyFont="1" applyAlignment="1">
      <alignment horizontal="right"/>
    </xf>
    <xf numFmtId="1" fontId="20" fillId="0" borderId="0" xfId="0" applyNumberFormat="1" applyFont="1" applyAlignment="1">
      <alignment horizontal="center" vertical="center"/>
    </xf>
    <xf numFmtId="0" fontId="61" fillId="0" borderId="0" xfId="0" applyFont="1" applyAlignment="1">
      <alignment horizontal="right"/>
    </xf>
    <xf numFmtId="1" fontId="13" fillId="0" borderId="0" xfId="0" applyNumberFormat="1" applyFont="1" applyAlignment="1">
      <alignment horizontal="right" vertical="center"/>
    </xf>
    <xf numFmtId="0" fontId="54" fillId="0" borderId="0" xfId="0" applyFont="1" applyAlignment="1">
      <alignment horizontal="right"/>
    </xf>
    <xf numFmtId="0" fontId="45" fillId="0" borderId="0" xfId="0" applyFont="1"/>
    <xf numFmtId="0" fontId="0" fillId="25" borderId="0" xfId="0" applyFill="1"/>
    <xf numFmtId="1" fontId="37" fillId="25" borderId="0" xfId="0" applyNumberFormat="1" applyFont="1" applyFill="1"/>
    <xf numFmtId="1" fontId="37" fillId="0" borderId="0" xfId="0" applyNumberFormat="1" applyFont="1"/>
    <xf numFmtId="0" fontId="33" fillId="25" borderId="0" xfId="0" applyFont="1" applyFill="1"/>
    <xf numFmtId="0" fontId="33" fillId="25" borderId="0" xfId="0" applyFont="1" applyFill="1" applyAlignment="1">
      <alignment wrapText="1"/>
    </xf>
    <xf numFmtId="0" fontId="34" fillId="25" borderId="0" xfId="0" applyFont="1" applyFill="1" applyAlignment="1">
      <alignment horizontal="center"/>
    </xf>
    <xf numFmtId="0" fontId="34" fillId="25" borderId="0" xfId="0" applyFont="1" applyFill="1"/>
    <xf numFmtId="0" fontId="34" fillId="25" borderId="0" xfId="0" applyFont="1" applyFill="1" applyAlignment="1">
      <alignment horizontal="left"/>
    </xf>
    <xf numFmtId="0" fontId="1" fillId="25" borderId="0" xfId="0" applyFont="1" applyFill="1"/>
    <xf numFmtId="0" fontId="33" fillId="0" borderId="0" xfId="0" applyFont="1"/>
    <xf numFmtId="0" fontId="33" fillId="0" borderId="0" xfId="0" applyFont="1" applyAlignment="1">
      <alignment wrapText="1"/>
    </xf>
    <xf numFmtId="0" fontId="34" fillId="0" borderId="0" xfId="0" applyFont="1" applyAlignment="1">
      <alignment horizontal="center"/>
    </xf>
    <xf numFmtId="0" fontId="34" fillId="0" borderId="0" xfId="0" applyFont="1"/>
    <xf numFmtId="0" fontId="0" fillId="26" borderId="0" xfId="0" applyFill="1"/>
    <xf numFmtId="0" fontId="0" fillId="26" borderId="20" xfId="0" applyFill="1" applyBorder="1"/>
    <xf numFmtId="0" fontId="0" fillId="26" borderId="32" xfId="0" applyFill="1" applyBorder="1"/>
    <xf numFmtId="0" fontId="1" fillId="4" borderId="0" xfId="0" applyFont="1" applyFill="1" applyAlignment="1">
      <alignment horizontal="left"/>
    </xf>
    <xf numFmtId="0" fontId="42" fillId="0" borderId="0" xfId="0" applyFont="1"/>
    <xf numFmtId="0" fontId="61" fillId="0" borderId="0" xfId="0" applyFont="1"/>
    <xf numFmtId="0" fontId="64" fillId="0" borderId="0" xfId="0" applyFont="1"/>
    <xf numFmtId="0" fontId="57" fillId="24" borderId="41" xfId="2"/>
    <xf numFmtId="0" fontId="57" fillId="24" borderId="41" xfId="2" applyAlignment="1"/>
    <xf numFmtId="0" fontId="57" fillId="24" borderId="41" xfId="2" applyAlignment="1">
      <alignment horizontal="center"/>
    </xf>
    <xf numFmtId="0" fontId="57" fillId="24" borderId="41" xfId="2" applyAlignment="1">
      <alignment vertical="center"/>
    </xf>
    <xf numFmtId="0" fontId="57" fillId="24" borderId="41" xfId="2" applyAlignment="1">
      <alignment horizontal="right" vertical="center"/>
    </xf>
    <xf numFmtId="0" fontId="57" fillId="24" borderId="41" xfId="2" applyAlignment="1">
      <alignment horizontal="center" vertical="center"/>
    </xf>
    <xf numFmtId="0" fontId="12" fillId="0" borderId="0" xfId="0" applyFont="1"/>
    <xf numFmtId="0" fontId="0" fillId="2" borderId="0" xfId="0" applyFill="1" applyAlignment="1">
      <alignment horizontal="right"/>
    </xf>
    <xf numFmtId="0" fontId="63" fillId="0" borderId="0" xfId="0" applyFont="1" applyAlignment="1">
      <alignment horizontal="center"/>
    </xf>
    <xf numFmtId="0" fontId="1" fillId="5" borderId="0" xfId="0" applyFont="1" applyFill="1" applyAlignment="1">
      <alignment horizontal="center" wrapText="1"/>
    </xf>
    <xf numFmtId="0" fontId="64" fillId="5" borderId="0" xfId="0" applyFont="1" applyFill="1" applyAlignment="1">
      <alignment horizontal="center"/>
    </xf>
    <xf numFmtId="0" fontId="65" fillId="5" borderId="0" xfId="0" applyFont="1" applyFill="1" applyAlignment="1">
      <alignment horizontal="center"/>
    </xf>
    <xf numFmtId="0" fontId="8" fillId="5" borderId="0" xfId="0" applyFont="1" applyFill="1" applyAlignment="1">
      <alignment horizontal="center" vertical="center"/>
    </xf>
    <xf numFmtId="0" fontId="8" fillId="5" borderId="0" xfId="0" applyFont="1" applyFill="1" applyAlignment="1">
      <alignment horizontal="center"/>
    </xf>
    <xf numFmtId="0" fontId="38" fillId="5" borderId="0" xfId="0" applyFont="1" applyFill="1" applyAlignment="1">
      <alignment horizontal="left"/>
    </xf>
    <xf numFmtId="0" fontId="38" fillId="5" borderId="0" xfId="0" applyFont="1" applyFill="1"/>
    <xf numFmtId="0" fontId="1" fillId="5" borderId="0" xfId="0" applyFont="1" applyFill="1" applyAlignment="1">
      <alignment horizontal="center"/>
    </xf>
    <xf numFmtId="0" fontId="66" fillId="5" borderId="0" xfId="0" applyFont="1" applyFill="1" applyAlignment="1">
      <alignment horizontal="center" vertical="center"/>
    </xf>
    <xf numFmtId="0" fontId="11" fillId="5" borderId="0" xfId="0" applyFont="1" applyFill="1" applyAlignment="1">
      <alignment horizontal="center" vertical="center"/>
    </xf>
    <xf numFmtId="0" fontId="11" fillId="5" borderId="0" xfId="0" applyFont="1" applyFill="1" applyAlignment="1">
      <alignment horizontal="center"/>
    </xf>
    <xf numFmtId="0" fontId="66" fillId="5" borderId="0" xfId="0" applyFont="1" applyFill="1" applyAlignment="1">
      <alignment horizontal="center"/>
    </xf>
    <xf numFmtId="0" fontId="65" fillId="16" borderId="0" xfId="0" applyFont="1" applyFill="1" applyAlignment="1">
      <alignment horizontal="center"/>
    </xf>
    <xf numFmtId="0" fontId="67" fillId="16" borderId="0" xfId="0" applyFont="1" applyFill="1" applyAlignment="1">
      <alignment horizontal="center" vertical="center"/>
    </xf>
    <xf numFmtId="0" fontId="8" fillId="16" borderId="0" xfId="0" applyFont="1" applyFill="1" applyAlignment="1">
      <alignment horizontal="center"/>
    </xf>
    <xf numFmtId="0" fontId="1" fillId="16" borderId="0" xfId="0" applyFont="1" applyFill="1" applyAlignment="1">
      <alignment wrapText="1"/>
    </xf>
    <xf numFmtId="0" fontId="19" fillId="0" borderId="0" xfId="0" applyFont="1" applyAlignment="1">
      <alignment horizontal="center"/>
    </xf>
    <xf numFmtId="0" fontId="53" fillId="16" borderId="0" xfId="0" applyFont="1" applyFill="1" applyAlignment="1">
      <alignment horizontal="center" vertical="center"/>
    </xf>
    <xf numFmtId="0" fontId="53" fillId="16" borderId="0" xfId="0" applyFont="1" applyFill="1" applyAlignment="1">
      <alignment horizontal="center"/>
    </xf>
    <xf numFmtId="0" fontId="51" fillId="0" borderId="0" xfId="0" applyFont="1" applyAlignment="1">
      <alignment horizontal="center"/>
    </xf>
    <xf numFmtId="0" fontId="51" fillId="0" borderId="0" xfId="0" applyFont="1" applyAlignment="1">
      <alignment horizontal="center" vertical="center"/>
    </xf>
    <xf numFmtId="0" fontId="51" fillId="16" borderId="0" xfId="0" applyFont="1" applyFill="1" applyAlignment="1">
      <alignment horizontal="center" vertical="center"/>
    </xf>
    <xf numFmtId="0" fontId="61" fillId="0" borderId="0" xfId="0" applyFont="1" applyAlignment="1">
      <alignment horizontal="center"/>
    </xf>
    <xf numFmtId="0" fontId="54" fillId="0" borderId="0" xfId="0" applyFont="1" applyAlignment="1">
      <alignment horizontal="center"/>
    </xf>
    <xf numFmtId="0" fontId="69" fillId="0" borderId="0" xfId="0" applyFont="1" applyAlignment="1">
      <alignment horizontal="center"/>
    </xf>
    <xf numFmtId="0" fontId="64" fillId="0" borderId="0" xfId="0" applyFont="1" applyAlignment="1">
      <alignment horizontal="center"/>
    </xf>
    <xf numFmtId="0" fontId="0" fillId="10" borderId="23" xfId="0" applyFill="1" applyBorder="1"/>
    <xf numFmtId="14" fontId="0" fillId="10" borderId="0" xfId="0" applyNumberFormat="1" applyFill="1"/>
    <xf numFmtId="0" fontId="0" fillId="10" borderId="33" xfId="0" applyFill="1" applyBorder="1"/>
    <xf numFmtId="0" fontId="1" fillId="27" borderId="0" xfId="0" applyFont="1" applyFill="1"/>
    <xf numFmtId="0" fontId="1" fillId="27" borderId="0" xfId="0" applyFont="1" applyFill="1" applyAlignment="1">
      <alignment horizontal="center"/>
    </xf>
    <xf numFmtId="0" fontId="0" fillId="27" borderId="0" xfId="0" applyFill="1"/>
    <xf numFmtId="2" fontId="57" fillId="24" borderId="41" xfId="2" applyNumberFormat="1"/>
    <xf numFmtId="0" fontId="29" fillId="10" borderId="0" xfId="0" applyFont="1" applyFill="1" applyAlignment="1">
      <alignment horizontal="center"/>
    </xf>
    <xf numFmtId="0" fontId="53" fillId="0" borderId="0" xfId="0" applyFont="1" applyAlignment="1">
      <alignment horizontal="right"/>
    </xf>
    <xf numFmtId="0" fontId="70" fillId="0" borderId="0" xfId="0" applyFont="1" applyAlignment="1">
      <alignment horizontal="center"/>
    </xf>
    <xf numFmtId="0" fontId="27" fillId="0" borderId="0" xfId="0" applyFont="1"/>
    <xf numFmtId="0" fontId="12" fillId="9" borderId="0" xfId="0" applyFont="1" applyFill="1" applyAlignment="1">
      <alignment horizontal="center"/>
    </xf>
    <xf numFmtId="0" fontId="62" fillId="9" borderId="0" xfId="0" applyFont="1" applyFill="1" applyAlignment="1">
      <alignment horizontal="center"/>
    </xf>
    <xf numFmtId="0" fontId="71" fillId="0" borderId="0" xfId="0" applyFont="1" applyAlignment="1">
      <alignment vertical="center"/>
    </xf>
    <xf numFmtId="0" fontId="30" fillId="0" borderId="0" xfId="0" applyFont="1" applyAlignment="1">
      <alignment vertical="center"/>
    </xf>
    <xf numFmtId="0" fontId="0" fillId="7" borderId="0" xfId="0" applyFill="1" applyAlignment="1">
      <alignment horizontal="center"/>
    </xf>
    <xf numFmtId="0" fontId="0" fillId="19" borderId="0" xfId="0" applyFill="1" applyAlignment="1">
      <alignment horizontal="center"/>
    </xf>
    <xf numFmtId="0" fontId="9" fillId="0" borderId="0" xfId="0" applyFont="1" applyAlignment="1">
      <alignment horizontal="center"/>
    </xf>
    <xf numFmtId="0" fontId="9" fillId="0" borderId="0" xfId="0" applyFont="1" applyAlignment="1">
      <alignment horizontal="center" wrapText="1"/>
    </xf>
    <xf numFmtId="0" fontId="9" fillId="0" borderId="4" xfId="0" applyFont="1" applyBorder="1" applyAlignment="1">
      <alignment horizontal="center"/>
    </xf>
    <xf numFmtId="0" fontId="9" fillId="0" borderId="5" xfId="0" applyFont="1" applyBorder="1" applyAlignment="1">
      <alignment horizontal="center"/>
    </xf>
    <xf numFmtId="0" fontId="1" fillId="27" borderId="0" xfId="0" applyFont="1" applyFill="1" applyAlignment="1">
      <alignment horizontal="center"/>
    </xf>
    <xf numFmtId="0" fontId="6" fillId="0" borderId="0" xfId="0" applyFont="1" applyAlignment="1">
      <alignment horizontal="center"/>
    </xf>
    <xf numFmtId="0" fontId="14" fillId="9" borderId="0" xfId="0" applyFont="1" applyFill="1" applyAlignment="1">
      <alignment horizontal="center"/>
    </xf>
    <xf numFmtId="0" fontId="7" fillId="0" borderId="0" xfId="0" applyFont="1" applyAlignment="1">
      <alignment horizontal="center"/>
    </xf>
    <xf numFmtId="0" fontId="1" fillId="0" borderId="0" xfId="0" applyFont="1" applyAlignment="1">
      <alignment horizontal="center"/>
    </xf>
    <xf numFmtId="0" fontId="12" fillId="9" borderId="0" xfId="0" applyFont="1" applyFill="1" applyAlignment="1">
      <alignment horizontal="center" vertical="center"/>
    </xf>
    <xf numFmtId="0" fontId="12" fillId="9" borderId="0" xfId="0" applyFont="1" applyFill="1" applyAlignment="1">
      <alignment horizontal="center"/>
    </xf>
    <xf numFmtId="0" fontId="1" fillId="2" borderId="0" xfId="0" applyFont="1" applyFill="1" applyAlignment="1">
      <alignment horizontal="center"/>
    </xf>
    <xf numFmtId="0" fontId="9" fillId="2" borderId="0" xfId="0" applyFont="1" applyFill="1" applyAlignment="1">
      <alignment horizontal="center"/>
    </xf>
    <xf numFmtId="0" fontId="63" fillId="9" borderId="0" xfId="0" applyFont="1" applyFill="1" applyAlignment="1">
      <alignment horizontal="center"/>
    </xf>
    <xf numFmtId="0" fontId="62" fillId="9" borderId="0" xfId="0" applyFont="1" applyFill="1" applyAlignment="1">
      <alignment horizontal="center"/>
    </xf>
    <xf numFmtId="0" fontId="68" fillId="9" borderId="0" xfId="0" applyFont="1" applyFill="1" applyAlignment="1">
      <alignment horizontal="center"/>
    </xf>
    <xf numFmtId="0" fontId="68" fillId="9" borderId="0" xfId="0" applyFont="1" applyFill="1" applyAlignment="1">
      <alignment horizontal="center" vertical="center"/>
    </xf>
    <xf numFmtId="0" fontId="72" fillId="28" borderId="0" xfId="0" applyFont="1" applyFill="1" applyAlignment="1">
      <alignment horizontal="center"/>
    </xf>
    <xf numFmtId="0" fontId="57" fillId="24" borderId="42" xfId="2" applyBorder="1" applyAlignment="1">
      <alignment horizontal="center"/>
    </xf>
    <xf numFmtId="0" fontId="57" fillId="24" borderId="43" xfId="2" applyBorder="1" applyAlignment="1">
      <alignment horizontal="center"/>
    </xf>
    <xf numFmtId="0" fontId="57" fillId="24" borderId="44" xfId="2" applyBorder="1" applyAlignment="1">
      <alignment horizontal="center"/>
    </xf>
    <xf numFmtId="0" fontId="16" fillId="12" borderId="0" xfId="0" applyFont="1" applyFill="1" applyAlignment="1">
      <alignment horizontal="center"/>
    </xf>
    <xf numFmtId="0" fontId="36" fillId="15" borderId="0" xfId="0" applyFont="1" applyFill="1" applyAlignment="1">
      <alignment horizontal="center"/>
    </xf>
    <xf numFmtId="0" fontId="1" fillId="11" borderId="0" xfId="0" applyFont="1" applyFill="1" applyAlignment="1">
      <alignment horizontal="center"/>
    </xf>
    <xf numFmtId="0" fontId="33" fillId="13" borderId="0" xfId="0" applyFont="1" applyFill="1" applyAlignment="1">
      <alignment horizontal="center"/>
    </xf>
    <xf numFmtId="0" fontId="14" fillId="12" borderId="0" xfId="0" applyFont="1" applyFill="1" applyAlignment="1">
      <alignment horizontal="center"/>
    </xf>
    <xf numFmtId="0" fontId="14" fillId="0" borderId="0" xfId="0" applyFont="1" applyAlignment="1">
      <alignment horizontal="center"/>
    </xf>
    <xf numFmtId="0" fontId="36" fillId="25" borderId="0" xfId="0" applyFont="1" applyFill="1" applyAlignment="1">
      <alignment horizontal="center"/>
    </xf>
    <xf numFmtId="0" fontId="36" fillId="0" borderId="0" xfId="0" applyFont="1" applyAlignment="1">
      <alignment horizontal="center"/>
    </xf>
    <xf numFmtId="0" fontId="16" fillId="9" borderId="0" xfId="0" applyFont="1" applyFill="1" applyAlignment="1">
      <alignment horizontal="center"/>
    </xf>
    <xf numFmtId="0" fontId="10" fillId="0" borderId="0" xfId="0" applyFont="1" applyFill="1" applyAlignment="1">
      <alignment horizontal="center"/>
    </xf>
    <xf numFmtId="0" fontId="13" fillId="0" borderId="0" xfId="0" applyFont="1" applyFill="1" applyAlignment="1">
      <alignment horizontal="left"/>
    </xf>
    <xf numFmtId="0" fontId="13" fillId="0" borderId="0" xfId="0" applyFont="1" applyFill="1" applyAlignment="1">
      <alignment horizontal="right"/>
    </xf>
  </cellXfs>
  <cellStyles count="3">
    <cellStyle name="Check Cell" xfId="2" builtinId="23"/>
    <cellStyle name="Hyperlink" xfId="1" builtinId="8"/>
    <cellStyle name="Normal" xfId="0" builtinId="0"/>
  </cellStyles>
  <dxfs count="19">
    <dxf>
      <font>
        <color theme="1"/>
      </font>
      <fill>
        <patternFill patternType="solid">
          <bgColor rgb="FFF7C7AC"/>
        </patternFill>
      </fill>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00FA00"/>
      <color rgb="FFFF7E79"/>
      <color rgb="FF941000"/>
      <color rgb="FFFFFF00"/>
      <color rgb="FFF7C7AC"/>
      <color rgb="FFFFD5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Owen Llodra" id="{B28A6AF0-7EDD-4391-8B6C-D7F192673CDD}" userId="" providerId=""/>
  <person displayName="Elizabeth Rivera Rosario" id="{75A081EA-F88F-C947-9DE9-AB172D339838}" userId="8329632358_tp_box_2" providerId="Windows Live"/>
  <person displayName="Elizabeth Rivera Rosario" id="{9F034AAC-2E96-0741-AF69-1A4BC35BD0B5}" userId="S::eriverar@buffalo.edu::c9c0ba1d-ee6c-43a7-a52f-c887403cf9a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173D5F-4AD0-6544-B286-19234C5544A6}" name="Table17" displayName="Table17" ref="B5:C8" totalsRowShown="0">
  <autoFilter ref="B5:C8" xr:uid="{B4173D5F-4AD0-6544-B286-19234C5544A6}"/>
  <tableColumns count="2">
    <tableColumn id="1" xr3:uid="{6F9DD891-0376-B049-B96E-CCDF5BED0FC2}" name="Condition" dataDxfId="18"/>
    <tableColumn id="2" xr3:uid="{BA8BCD86-9BEE-7A4F-B9FB-DBE4591243C9}" name="Total" dataDxfId="17">
      <calculatedColumnFormula array="1">C4:C5</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CC9D67-E08E-654E-865C-282AA826714C}" name="Table28" displayName="Table28" ref="E5:F12" totalsRowShown="0" dataDxfId="16">
  <autoFilter ref="E5:F12" xr:uid="{ADCC9D67-E08E-654E-865C-282AA826714C}"/>
  <tableColumns count="2">
    <tableColumn id="1" xr3:uid="{BA2F738F-2AF1-1D49-B1EE-970FE5F47EF7}" name="Condition" dataDxfId="15"/>
    <tableColumn id="2" xr3:uid="{EB73CF17-464B-BB41-877B-C22DFC8DB154}" name="Total" dataDxfId="1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BFB0BEF-9EDE-9145-BBF9-E455B0293A79}" name="Table249" displayName="Table249" ref="H5:I13" totalsRowShown="0">
  <autoFilter ref="H5:I13" xr:uid="{1BFB0BEF-9EDE-9145-BBF9-E455B0293A79}"/>
  <tableColumns count="2">
    <tableColumn id="1" xr3:uid="{59F281B7-083F-2443-B821-933BC4C17D48}" name="Condition" dataDxfId="13"/>
    <tableColumn id="2" xr3:uid="{7A568DDB-A915-5F44-B09E-B4C8DDDF288F}" name="Total" dataDxfId="1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B8F2845-13DD-B541-BA0B-F384DA845099}" name="Table2510" displayName="Table2510" ref="K5:L11" totalsRowShown="0" dataDxfId="11">
  <autoFilter ref="K5:L11" xr:uid="{AB8F2845-13DD-B541-BA0B-F384DA845099}"/>
  <tableColumns count="2">
    <tableColumn id="1" xr3:uid="{8BDAF9E5-7E2A-C442-A2DA-58BE9814E3DC}" name="Condition" dataDxfId="10"/>
    <tableColumn id="2" xr3:uid="{C4D107C8-3C0A-DC43-982B-A6296C53D594}" name="Total" dataDxfId="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8A4325A-AEDE-8649-9A5D-904B7386FF75}" name="Table2611" displayName="Table2611" ref="N5:O11" totalsRowShown="0">
  <autoFilter ref="N5:O11" xr:uid="{A8A4325A-AEDE-8649-9A5D-904B7386FF75}"/>
  <tableColumns count="2">
    <tableColumn id="1" xr3:uid="{93A8DF8D-5176-5447-93A3-BFAE3B653424}" name="Condition" dataDxfId="8"/>
    <tableColumn id="2" xr3:uid="{410ADF3C-1444-6C46-8034-02612E3F19EC}" name="Total" dataDxfId="7"/>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EFF7ECF-4F7C-EB42-9700-DF64C42337FD}" name="Table1712" displayName="Table1712" ref="B11:C15" totalsRowShown="0">
  <autoFilter ref="B11:C15" xr:uid="{DEFF7ECF-4F7C-EB42-9700-DF64C42337FD}"/>
  <tableColumns count="2">
    <tableColumn id="1" xr3:uid="{136376C4-FD27-6D46-B386-B6B7D4578A7D}" name="Condition" dataDxfId="6"/>
    <tableColumn id="2" xr3:uid="{0DEFA430-0808-6F4D-AE73-C4095054E6DD}" name="Total" dataDxfId="5">
      <calculatedColumnFormula array="1">C10:C11</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C6BB9F-B83F-4A1D-AE2F-60AAAD956682}" name="Table174" displayName="Table174" ref="R6:S9" totalsRowShown="0">
  <autoFilter ref="R6:S9" xr:uid="{E5C6BB9F-B83F-4A1D-AE2F-60AAAD956682}"/>
  <tableColumns count="2">
    <tableColumn id="1" xr3:uid="{E3E07D54-86FC-41BB-8EBE-A9DBE0B204F2}" name="Condition" dataDxfId="4"/>
    <tableColumn id="2" xr3:uid="{79349A24-CFC8-459B-BF5C-D838FDA682F6}" name="Total" dataDxfId="3">
      <calculatedColumnFormula array="1">S5:S6</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7519BD-2861-4B60-BEF9-8DB1ACD4EDC6}" name="Table1745" displayName="Table1745" ref="R13:S16" totalsRowShown="0">
  <autoFilter ref="R13:S16" xr:uid="{D87519BD-2861-4B60-BEF9-8DB1ACD4EDC6}"/>
  <tableColumns count="2">
    <tableColumn id="1" xr3:uid="{9A25AD20-BF59-4094-8824-35DDCC1F5EF0}" name="Condition" dataDxfId="2"/>
    <tableColumn id="2" xr3:uid="{7C65C028-2885-4838-A16D-801695C8D00C}" name="Total" dataDxfId="1">
      <calculatedColumnFormula array="1">S12:S13</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0" dT="2025-11-03T20:52:08.23" personId="{75A081EA-F88F-C947-9DE9-AB172D339838}" id="{13F6866A-CD3B-C849-A887-8872C2FF5B20}">
    <text>How much is good data?</text>
  </threadedComment>
</ThreadedComments>
</file>

<file path=xl/threadedComments/threadedComment2.xml><?xml version="1.0" encoding="utf-8"?>
<ThreadedComments xmlns="http://schemas.microsoft.com/office/spreadsheetml/2018/threadedcomments" xmlns:x="http://schemas.openxmlformats.org/spreadsheetml/2006/main">
  <threadedComment ref="H20" dT="2025-11-03T20:22:52.45" personId="{75A081EA-F88F-C947-9DE9-AB172D339838}" id="{242B40EC-BA37-6641-BAC6-E0293E8F2BC6}" done="1">
    <text>Check email for age</text>
  </threadedComment>
  <threadedComment ref="K40" dT="2025-12-22T18:47:43.67" personId="{B28A6AF0-7EDD-4391-8B6C-D7F192673CDD}" id="{19151A7F-430E-4506-AE5F-C758DE7ED7EA}">
    <text>Request for demographic information email did not go through</text>
  </threadedComment>
</ThreadedComments>
</file>

<file path=xl/threadedComments/threadedComment3.xml><?xml version="1.0" encoding="utf-8"?>
<ThreadedComments xmlns="http://schemas.microsoft.com/office/spreadsheetml/2018/threadedcomments" xmlns:x="http://schemas.openxmlformats.org/spreadsheetml/2006/main">
  <threadedComment ref="CA18" dT="2025-07-15T00:05:22.77" personId="{9F034AAC-2E96-0741-AF69-1A4BC35BD0B5}" id="{FE7073A2-42EA-004F-A60C-35FD052CC560}">
    <text>Check if tinn eval was done</text>
  </threadedComment>
</ThreadedComments>
</file>

<file path=xl/threadedComments/threadedComment4.xml><?xml version="1.0" encoding="utf-8"?>
<ThreadedComments xmlns="http://schemas.microsoft.com/office/spreadsheetml/2018/threadedcomments" xmlns:x="http://schemas.openxmlformats.org/spreadsheetml/2006/main">
  <threadedComment ref="AC3" dT="2025-09-26T16:36:41.13" personId="{75A081EA-F88F-C947-9DE9-AB172D339838}" id="{DC32276B-62A3-0D4F-88CF-66CE59A01BAC}">
    <text>Edit Later</text>
  </threadedComment>
  <threadedComment ref="AE3" dT="2025-09-26T16:36:47.31" personId="{75A081EA-F88F-C947-9DE9-AB172D339838}" id="{A6F1649A-4389-E743-B2C5-DCA901D81998}">
    <text>Edit Later</text>
  </threadedComment>
  <threadedComment ref="AI3" dT="2025-09-26T16:36:41.13" personId="{75A081EA-F88F-C947-9DE9-AB172D339838}" id="{64397117-608E-C646-8E56-449BB7E8C1DA}">
    <text>Edit Later</text>
  </threadedComment>
  <threadedComment ref="AJ3" dT="2025-09-26T16:36:47.31" personId="{75A081EA-F88F-C947-9DE9-AB172D339838}" id="{B054497D-635B-0E4E-8488-B6891969406C}">
    <text>Edit Later</text>
  </threadedComment>
  <threadedComment ref="AN3" dT="2025-09-26T16:36:41.13" personId="{75A081EA-F88F-C947-9DE9-AB172D339838}" id="{160C9941-159E-EF47-99B1-7E0E03CF76E9}">
    <text>Edit Later</text>
  </threadedComment>
  <threadedComment ref="AO3" dT="2025-09-26T16:36:47.31" personId="{75A081EA-F88F-C947-9DE9-AB172D339838}" id="{59DB35B2-D596-CD46-985C-10E761B69680}">
    <text>Edit Later</text>
  </threadedComment>
  <threadedComment ref="AS3" dT="2025-09-26T16:36:41.13" personId="{75A081EA-F88F-C947-9DE9-AB172D339838}" id="{A46BCECB-3D3C-704F-AFDC-3030BB26026D}">
    <text>Edit Later</text>
  </threadedComment>
  <threadedComment ref="AT3" dT="2025-09-26T16:36:47.31" personId="{75A081EA-F88F-C947-9DE9-AB172D339838}" id="{EC2B8361-7607-5E47-B473-F2767A83F298}">
    <text>Edit Later</text>
  </threadedComment>
  <threadedComment ref="AW3" dT="2025-09-26T16:36:41.13" personId="{75A081EA-F88F-C947-9DE9-AB172D339838}" id="{82E17108-5B81-7740-B16B-23D9A3CD8D19}">
    <text>Edit Later</text>
  </threadedComment>
  <threadedComment ref="AY3" dT="2025-09-26T16:36:47.31" personId="{75A081EA-F88F-C947-9DE9-AB172D339838}" id="{0C02355C-23BA-DC40-9C00-5745598B2CC8}">
    <text>Edit Later</text>
  </threadedComment>
  <threadedComment ref="BC3" dT="2025-09-26T16:36:41.13" personId="{75A081EA-F88F-C947-9DE9-AB172D339838}" id="{E267DA19-C353-7543-994C-ECF79CDA81F9}">
    <text>Edit Later</text>
  </threadedComment>
  <threadedComment ref="BD3" dT="2025-09-26T16:36:47.31" personId="{75A081EA-F88F-C947-9DE9-AB172D339838}" id="{F093055E-0268-7344-8032-FC2011F3E22E}">
    <text>Edit Later</text>
  </threadedComment>
  <threadedComment ref="BH3" dT="2025-09-26T16:36:41.13" personId="{75A081EA-F88F-C947-9DE9-AB172D339838}" id="{40E2182E-F325-C842-A847-B5E529F09166}">
    <text>Edit Later</text>
  </threadedComment>
  <threadedComment ref="BI3" dT="2025-09-26T16:36:47.31" personId="{75A081EA-F88F-C947-9DE9-AB172D339838}" id="{050864C5-623C-1644-B344-9C5655AC1231}">
    <text>Edit Later</text>
  </threadedComment>
  <threadedComment ref="BM3" dT="2025-09-26T16:36:41.13" personId="{75A081EA-F88F-C947-9DE9-AB172D339838}" id="{54F994FD-146A-6B4A-AD74-4B614059C935}">
    <text>Edit Later</text>
  </threadedComment>
  <threadedComment ref="BN3" dT="2025-09-26T16:36:47.31" personId="{75A081EA-F88F-C947-9DE9-AB172D339838}" id="{87A22339-D332-D647-B0C5-B4B4FD3C9642}">
    <text>Edit Later</text>
  </threadedComment>
  <threadedComment ref="H26" dT="2025-04-18T19:42:34.66" personId="{9F034AAC-2E96-0741-AF69-1A4BC35BD0B5}" id="{48138B4F-0824-2146-9A59-BD2F628FF7FD}">
    <text>Add info about the sub scales</text>
  </threadedComment>
  <threadedComment ref="R26" dT="2025-04-18T19:42:20.59" personId="{9F034AAC-2E96-0741-AF69-1A4BC35BD0B5}" id="{71A84217-EAAC-2C43-A748-959610F61E5F}">
    <text>Add info about the sections</text>
  </threadedComment>
  <threadedComment ref="S27" dT="2025-04-25T16:34:18.02" personId="{9F034AAC-2E96-0741-AF69-1A4BC35BD0B5}" id="{1DEE6BC4-A9C4-364D-A7A1-6668000F715B}">
    <text>Verify what number it’s considered outside of normal limits</text>
  </threadedComment>
  <threadedComment ref="AC27" dT="2025-09-26T16:36:41.13" personId="{75A081EA-F88F-C947-9DE9-AB172D339838}" id="{3498C37D-9E17-7F4E-8E7E-5CD369573D88}">
    <text>Edit Later</text>
  </threadedComment>
  <threadedComment ref="AE27" dT="2025-09-26T16:36:47.31" personId="{75A081EA-F88F-C947-9DE9-AB172D339838}" id="{B818C4B4-42D4-4847-B5C0-41853A788C06}">
    <text>Edit Later</text>
  </threadedComment>
  <threadedComment ref="AI27" dT="2025-09-26T16:36:41.13" personId="{75A081EA-F88F-C947-9DE9-AB172D339838}" id="{D5BE7C7D-43BC-3442-B5D0-EA5F5D57F269}">
    <text>Edit Later</text>
  </threadedComment>
  <threadedComment ref="AJ27" dT="2025-09-26T16:36:47.31" personId="{75A081EA-F88F-C947-9DE9-AB172D339838}" id="{131E3693-8562-D847-AD37-B2D24CBFD4FF}">
    <text>Edit Later</text>
  </threadedComment>
  <threadedComment ref="AN27" dT="2025-09-26T16:36:41.13" personId="{75A081EA-F88F-C947-9DE9-AB172D339838}" id="{D4FB6603-1CE6-3D4C-B483-8A713FB4FF03}">
    <text>Edit Later</text>
  </threadedComment>
  <threadedComment ref="AO27" dT="2025-09-26T16:36:47.31" personId="{75A081EA-F88F-C947-9DE9-AB172D339838}" id="{344C87E9-713D-E943-AF3F-B33AE121AC6D}">
    <text>Edit Later</text>
  </threadedComment>
  <threadedComment ref="AS27" dT="2025-09-26T16:36:41.13" personId="{75A081EA-F88F-C947-9DE9-AB172D339838}" id="{1CC24155-D090-F545-B95A-D19AC5B577E7}">
    <text>Edit Later</text>
  </threadedComment>
  <threadedComment ref="AT27" dT="2025-09-26T16:36:47.31" personId="{75A081EA-F88F-C947-9DE9-AB172D339838}" id="{85E5187A-F078-6749-8547-D87110D353CE}">
    <text>Edit Later</text>
  </threadedComment>
  <threadedComment ref="AW27" dT="2025-09-26T16:36:41.13" personId="{75A081EA-F88F-C947-9DE9-AB172D339838}" id="{4A7C2327-1122-464D-82BF-6D08566E1CC0}">
    <text>Edit Later</text>
  </threadedComment>
  <threadedComment ref="AY27" dT="2025-09-26T16:36:47.31" personId="{75A081EA-F88F-C947-9DE9-AB172D339838}" id="{1570E86E-42F8-3143-8BE1-416F84A08ADB}">
    <text>Edit Later</text>
  </threadedComment>
  <threadedComment ref="BC27" dT="2025-09-26T16:36:41.13" personId="{75A081EA-F88F-C947-9DE9-AB172D339838}" id="{7D4C974E-200C-C54F-8958-F1715C9B66B7}">
    <text>Edit Later</text>
  </threadedComment>
  <threadedComment ref="BD27" dT="2025-09-26T16:36:47.31" personId="{75A081EA-F88F-C947-9DE9-AB172D339838}" id="{17D23BDC-3999-3048-ADD6-D6A111BDF59B}">
    <text>Edit Later</text>
  </threadedComment>
  <threadedComment ref="BH27" dT="2025-09-26T16:36:41.13" personId="{75A081EA-F88F-C947-9DE9-AB172D339838}" id="{8FCCFC74-47F2-164D-8729-50CDE3CC2E82}">
    <text>Edit Later</text>
  </threadedComment>
  <threadedComment ref="BI27" dT="2025-09-26T16:36:47.31" personId="{75A081EA-F88F-C947-9DE9-AB172D339838}" id="{98ED34C2-A408-9C4E-922B-11058970C873}">
    <text>Edit Later</text>
  </threadedComment>
  <threadedComment ref="BM27" dT="2025-09-26T16:36:41.13" personId="{75A081EA-F88F-C947-9DE9-AB172D339838}" id="{25BA4F65-36AA-1848-9930-8774D7DECE5C}">
    <text>Edit Later</text>
  </threadedComment>
  <threadedComment ref="BN27" dT="2025-09-26T16:36:47.31" personId="{75A081EA-F88F-C947-9DE9-AB172D339838}" id="{67FBE547-F89E-3C4F-9529-47141584D6D0}">
    <text>Edit Later</text>
  </threadedComment>
  <threadedComment ref="F38" dT="2025-07-21T14:44:50.62" personId="{9F034AAC-2E96-0741-AF69-1A4BC35BD0B5}" id="{7EBB21BD-F551-0D43-B864-9FF55EC13424}">
    <text>Re-tested on 7/21/25</text>
  </threadedComment>
  <threadedComment ref="T38" dT="2025-07-21T14:45:16.90" personId="{9F034AAC-2E96-0741-AF69-1A4BC35BD0B5}" id="{B51470CF-4460-6B44-86A3-6F45ADC73FAA}">
    <text>Reviewed on 7/21/25 and changed from a 5 to a 6</text>
  </threadedComment>
  <threadedComment ref="F56" dT="2025-04-18T19:43:02.01" personId="{9F034AAC-2E96-0741-AF69-1A4BC35BD0B5}" id="{98856B16-84F4-684A-9BBA-F26E51D0E8D9}">
    <text>Severities</text>
  </threadedComment>
  <threadedComment ref="AC57" dT="2025-09-26T16:36:41.13" personId="{75A081EA-F88F-C947-9DE9-AB172D339838}" id="{A200AC2E-66D5-A949-8CAF-EE59CBDC05AF}">
    <text>Edit Later</text>
  </threadedComment>
  <threadedComment ref="AE57" dT="2025-09-26T16:36:47.31" personId="{75A081EA-F88F-C947-9DE9-AB172D339838}" id="{F6A6EB29-7224-7A4F-A24D-8D96667FC9DE}">
    <text>Edit Later</text>
  </threadedComment>
  <threadedComment ref="AI57" dT="2025-09-26T16:36:41.13" personId="{75A081EA-F88F-C947-9DE9-AB172D339838}" id="{35FBC40F-64FF-DC43-9F62-01EE354DD34A}">
    <text>Edit Later</text>
  </threadedComment>
  <threadedComment ref="AJ57" dT="2025-09-26T16:36:47.31" personId="{75A081EA-F88F-C947-9DE9-AB172D339838}" id="{6431369D-7213-BF46-843B-86DB3C3DA003}">
    <text>Edit Later</text>
  </threadedComment>
  <threadedComment ref="AN57" dT="2025-09-26T16:36:41.13" personId="{75A081EA-F88F-C947-9DE9-AB172D339838}" id="{F09368A0-AEFD-8449-A67A-F3227BF4220C}">
    <text>Edit Later</text>
  </threadedComment>
  <threadedComment ref="AO57" dT="2025-09-26T16:36:47.31" personId="{75A081EA-F88F-C947-9DE9-AB172D339838}" id="{860F1589-54C2-7143-A043-2F36E938A443}">
    <text>Edit Later</text>
  </threadedComment>
  <threadedComment ref="AS57" dT="2025-09-26T16:36:41.13" personId="{75A081EA-F88F-C947-9DE9-AB172D339838}" id="{E416B2AB-F075-9B4D-AB7B-3F2F8FF7492D}">
    <text>Edit Later</text>
  </threadedComment>
  <threadedComment ref="AT57" dT="2025-09-26T16:36:47.31" personId="{75A081EA-F88F-C947-9DE9-AB172D339838}" id="{9CA5EC84-F814-6C4B-8C97-CB67008FCB34}">
    <text>Edit Later</text>
  </threadedComment>
  <threadedComment ref="AW57" dT="2025-09-26T16:36:41.13" personId="{75A081EA-F88F-C947-9DE9-AB172D339838}" id="{6A762E7F-31B8-6746-A5CB-F467FCDF0A93}">
    <text>Edit Later</text>
  </threadedComment>
  <threadedComment ref="AY57" dT="2025-09-26T16:36:47.31" personId="{75A081EA-F88F-C947-9DE9-AB172D339838}" id="{5D69C0A6-0FAB-BA42-8D68-A143F9CD7A3C}">
    <text>Edit Later</text>
  </threadedComment>
  <threadedComment ref="F62" dT="2025-04-18T19:43:02.01" personId="{9F034AAC-2E96-0741-AF69-1A4BC35BD0B5}" id="{30602D3B-C376-8148-ACED-CC6B1CA5BA30}">
    <text>Severities</text>
  </threadedComment>
</ThreadedComments>
</file>

<file path=xl/threadedComments/threadedComment5.xml><?xml version="1.0" encoding="utf-8"?>
<ThreadedComments xmlns="http://schemas.microsoft.com/office/spreadsheetml/2018/threadedcomments" xmlns:x="http://schemas.openxmlformats.org/spreadsheetml/2006/main">
  <threadedComment ref="D14" dT="2025-07-21T14:44:50.62" personId="{9F034AAC-2E96-0741-AF69-1A4BC35BD0B5}" id="{34ACED29-CE87-43BB-8E93-D0A6A8A32C92}">
    <text>Re-tested on 7/21/25</text>
  </threadedComment>
  <threadedComment ref="M14" dT="2025-07-21T14:44:50.62" personId="{9F034AAC-2E96-0741-AF69-1A4BC35BD0B5}" id="{8E656DCE-3845-40E9-8447-70CD3DE13403}">
    <text>Re-tested on 7/21/25</text>
  </threadedComment>
  <threadedComment ref="AA14" dT="2025-07-21T14:45:16.90" personId="{9F034AAC-2E96-0741-AF69-1A4BC35BD0B5}" id="{313A6A7D-0717-41B1-9D1D-09C78E1252C5}">
    <text>Reviewed on 7/21/25 and changed from a 5 to a 6</text>
  </threadedComment>
  <threadedComment ref="O43" dT="2025-04-18T19:42:34.66" personId="{9F034AAC-2E96-0741-AF69-1A4BC35BD0B5}" id="{B2983D42-6A02-43B6-AE42-DB6D922BF49E}">
    <text>Add info about the sub scales</text>
  </threadedComment>
  <threadedComment ref="Y43" dT="2025-04-18T19:42:20.59" personId="{9F034AAC-2E96-0741-AF69-1A4BC35BD0B5}" id="{A8145728-725D-4235-97E9-F3DA33244C08}">
    <text>Add info about the sections</text>
  </threadedComment>
  <threadedComment ref="M74" dT="2025-04-18T19:43:02.01" personId="{9F034AAC-2E96-0741-AF69-1A4BC35BD0B5}" id="{A04FF3AA-CEBE-453F-B156-299AEE668D01}">
    <text>Severities</text>
  </threadedComment>
  <threadedComment ref="M81" dT="2025-04-18T19:43:02.01" personId="{9F034AAC-2E96-0741-AF69-1A4BC35BD0B5}" id="{52478955-F0BF-4BB4-A0E8-392215E003DD}">
    <text>Severities</text>
  </threadedComment>
</ThreadedComments>
</file>

<file path=xl/threadedComments/threadedComment6.xml><?xml version="1.0" encoding="utf-8"?>
<ThreadedComments xmlns="http://schemas.microsoft.com/office/spreadsheetml/2018/threadedcomments" xmlns:x="http://schemas.openxmlformats.org/spreadsheetml/2006/main">
  <threadedComment ref="N13" dT="2025-04-18T19:42:34.66" personId="{9F034AAC-2E96-0741-AF69-1A4BC35BD0B5}" id="{B41CF766-1333-4954-BA48-31FCC59DBF0F}">
    <text>Add info about the sub scales</text>
  </threadedComment>
  <threadedComment ref="X13" dT="2025-04-18T19:42:20.59" personId="{9F034AAC-2E96-0741-AF69-1A4BC35BD0B5}" id="{A619FF7A-9B8A-4745-AD5E-65D3538617B0}">
    <text>Add info about the sections</text>
  </threadedComment>
  <threadedComment ref="Y14" dT="2025-04-25T16:34:18.02" personId="{9F034AAC-2E96-0741-AF69-1A4BC35BD0B5}" id="{3A61FBF6-D6E6-440B-8E13-BD0A3B4F653D}">
    <text>Verify what number it’s considered outside of normal limits</text>
  </threadedComment>
  <threadedComment ref="L26" dT="2025-04-18T19:43:02.01" personId="{9F034AAC-2E96-0741-AF69-1A4BC35BD0B5}" id="{450875CE-7E5D-4E49-AB62-20E135F63642}">
    <text>Severities</text>
  </threadedComment>
  <threadedComment ref="L33" dT="2025-04-18T19:43:02.01" personId="{9F034AAC-2E96-0741-AF69-1A4BC35BD0B5}" id="{1C688E3E-25F3-4290-B518-5BC67CDB31E7}">
    <text>Severities</text>
  </threadedComment>
</ThreadedComments>
</file>

<file path=xl/threadedComments/threadedComment7.xml><?xml version="1.0" encoding="utf-8"?>
<ThreadedComments xmlns="http://schemas.microsoft.com/office/spreadsheetml/2018/threadedcomments" xmlns:x="http://schemas.openxmlformats.org/spreadsheetml/2006/main">
  <threadedComment ref="A8" dT="2025-12-09T20:30:46.96" personId="{9F034AAC-2E96-0741-AF69-1A4BC35BD0B5}" id="{F416C44D-49B3-4ADD-8874-03EB8B96BF2B}">
    <text>Put data on Phone excel</text>
  </threadedComment>
  <threadedComment ref="A9" dT="2025-12-03T17:16:52.72" personId="{75A081EA-F88F-C947-9DE9-AB172D339838}" id="{E52C99EA-BF0B-E940-8E68-9D9C98A30A15}">
    <text>Need to put this data in the Phone excel file</text>
  </threadedComment>
  <threadedComment ref="A9" dT="2025-12-03T17:25:18.32" personId="{75A081EA-F88F-C947-9DE9-AB172D339838}" id="{923F11F5-C9C8-1E48-9FA9-992B72B0D8BA}" parentId="{E52C99EA-BF0B-E940-8E68-9D9C98A30A15}">
    <text>Need initial questionnaire data to put in phone excel file</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table" Target="../tables/table5.xml"/><Relationship Id="rId11" Type="http://schemas.microsoft.com/office/2017/10/relationships/threadedComment" Target="../threadedComments/threadedComment1.xml"/><Relationship Id="rId5" Type="http://schemas.openxmlformats.org/officeDocument/2006/relationships/table" Target="../tables/table4.xml"/><Relationship Id="rId10" Type="http://schemas.openxmlformats.org/officeDocument/2006/relationships/comments" Target="../comments1.xml"/><Relationship Id="rId4" Type="http://schemas.openxmlformats.org/officeDocument/2006/relationships/table" Target="../tables/table3.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pmc.ncbi.nlm.nih.gov/articles/PMC6796665/" TargetMode="External"/><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pmc.ncbi.nlm.nih.gov/articles/PMC6796665/" TargetMode="External"/><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pmc.ncbi.nlm.nih.gov/articles/PMC6796665/" TargetMode="Externa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parinc.com/docs/default-source/product-resources/checkit_series_gad7_tech_supp_paper_v4_092920.pdf" TargetMode="External"/><Relationship Id="rId1" Type="http://schemas.openxmlformats.org/officeDocument/2006/relationships/hyperlink" Target="https://pmc.ncbi.nlm.nih.gov/articles/PMC6796665/" TargetMode="Externa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DDE2-9A12-C544-8F41-865DA2B0F23B}">
  <dimension ref="B2:S27"/>
  <sheetViews>
    <sheetView topLeftCell="A7" zoomScale="67" workbookViewId="0">
      <selection activeCell="G1" sqref="G1"/>
    </sheetView>
  </sheetViews>
  <sheetFormatPr baseColWidth="10" defaultColWidth="8.83203125" defaultRowHeight="16" x14ac:dyDescent="0.2"/>
  <cols>
    <col min="2" max="2" width="15.5" customWidth="1"/>
    <col min="3" max="3" width="15" customWidth="1"/>
    <col min="4" max="4" width="24.5" customWidth="1"/>
    <col min="5" max="5" width="19" customWidth="1"/>
    <col min="8" max="8" width="13.5" customWidth="1"/>
    <col min="9" max="10" width="10" customWidth="1"/>
    <col min="11" max="11" width="24" customWidth="1"/>
    <col min="12" max="13" width="7.33203125" customWidth="1"/>
    <col min="14" max="14" width="17.83203125" customWidth="1"/>
    <col min="15" max="15" width="10" customWidth="1"/>
    <col min="18" max="18" width="13.33203125" customWidth="1"/>
    <col min="19" max="19" width="15.33203125" customWidth="1"/>
  </cols>
  <sheetData>
    <row r="2" spans="2:19" x14ac:dyDescent="0.2">
      <c r="B2" t="s">
        <v>0</v>
      </c>
    </row>
    <row r="4" spans="2:19" x14ac:dyDescent="0.2">
      <c r="B4" s="427" t="s">
        <v>1</v>
      </c>
      <c r="C4" s="427"/>
      <c r="E4" s="427" t="s">
        <v>2</v>
      </c>
      <c r="F4" s="427"/>
      <c r="G4" s="4"/>
      <c r="H4" s="427" t="s">
        <v>3</v>
      </c>
      <c r="I4" s="427"/>
      <c r="J4" s="4"/>
      <c r="K4" s="427" t="s">
        <v>4</v>
      </c>
      <c r="L4" s="427"/>
      <c r="M4" s="4"/>
      <c r="N4" s="427" t="s">
        <v>5</v>
      </c>
      <c r="O4" s="427"/>
    </row>
    <row r="5" spans="2:19" x14ac:dyDescent="0.2">
      <c r="B5" t="s">
        <v>6</v>
      </c>
      <c r="C5" t="s">
        <v>7</v>
      </c>
      <c r="E5" t="s">
        <v>6</v>
      </c>
      <c r="F5" t="s">
        <v>7</v>
      </c>
      <c r="H5" t="s">
        <v>6</v>
      </c>
      <c r="I5" t="s">
        <v>7</v>
      </c>
      <c r="K5" t="s">
        <v>6</v>
      </c>
      <c r="L5" t="s">
        <v>7</v>
      </c>
      <c r="N5" t="s">
        <v>6</v>
      </c>
      <c r="O5" t="s">
        <v>7</v>
      </c>
      <c r="R5" s="427" t="s">
        <v>8</v>
      </c>
      <c r="S5" s="427"/>
    </row>
    <row r="6" spans="2:19" ht="17" x14ac:dyDescent="0.2">
      <c r="B6" s="14" t="s">
        <v>9</v>
      </c>
      <c r="C6" s="15">
        <v>16</v>
      </c>
      <c r="D6" s="15"/>
      <c r="E6" s="16" t="s">
        <v>10</v>
      </c>
      <c r="F6" s="32">
        <v>0</v>
      </c>
      <c r="G6" s="4"/>
      <c r="H6" s="19" t="s">
        <v>11</v>
      </c>
      <c r="I6" s="15">
        <v>7</v>
      </c>
      <c r="J6" s="15"/>
      <c r="K6" s="170" t="s">
        <v>12</v>
      </c>
      <c r="L6" s="15">
        <v>0</v>
      </c>
      <c r="M6" s="15"/>
      <c r="N6" s="17" t="s">
        <v>13</v>
      </c>
      <c r="O6" s="15">
        <v>2</v>
      </c>
      <c r="R6" t="s">
        <v>6</v>
      </c>
      <c r="S6" t="s">
        <v>7</v>
      </c>
    </row>
    <row r="7" spans="2:19" ht="34" x14ac:dyDescent="0.2">
      <c r="B7" s="14" t="s">
        <v>14</v>
      </c>
      <c r="C7" s="15">
        <v>21</v>
      </c>
      <c r="E7" s="16" t="s">
        <v>15</v>
      </c>
      <c r="F7" s="32">
        <v>0</v>
      </c>
      <c r="G7" s="4"/>
      <c r="H7" s="16" t="s">
        <v>15</v>
      </c>
      <c r="I7" s="15">
        <v>0</v>
      </c>
      <c r="J7" s="15"/>
      <c r="K7" s="18" t="s">
        <v>16</v>
      </c>
      <c r="L7" s="15">
        <v>1</v>
      </c>
      <c r="M7" s="15"/>
      <c r="N7" s="17" t="s">
        <v>17</v>
      </c>
      <c r="O7" s="15">
        <v>1</v>
      </c>
      <c r="R7" s="14" t="s">
        <v>18</v>
      </c>
      <c r="S7" s="15"/>
    </row>
    <row r="8" spans="2:19" ht="34" x14ac:dyDescent="0.2">
      <c r="B8" s="164" t="s">
        <v>7</v>
      </c>
      <c r="C8" s="165">
        <f>SUM(C6:C7)</f>
        <v>37</v>
      </c>
      <c r="E8" s="16" t="s">
        <v>19</v>
      </c>
      <c r="F8" s="32">
        <v>1</v>
      </c>
      <c r="G8" s="4"/>
      <c r="H8" s="16" t="s">
        <v>16</v>
      </c>
      <c r="I8" s="15">
        <v>1</v>
      </c>
      <c r="J8" s="15"/>
      <c r="K8" s="18" t="s">
        <v>20</v>
      </c>
      <c r="L8" s="15">
        <v>0</v>
      </c>
      <c r="M8" s="15"/>
      <c r="N8" s="18" t="s">
        <v>21</v>
      </c>
      <c r="O8" s="15">
        <v>2</v>
      </c>
      <c r="R8" s="14" t="s">
        <v>22</v>
      </c>
      <c r="S8" s="15"/>
    </row>
    <row r="9" spans="2:19" ht="74.25" customHeight="1" x14ac:dyDescent="0.2">
      <c r="E9" s="16" t="s">
        <v>17</v>
      </c>
      <c r="F9" s="32">
        <v>1</v>
      </c>
      <c r="G9" s="4"/>
      <c r="H9" s="16" t="s">
        <v>19</v>
      </c>
      <c r="I9" s="15">
        <v>1</v>
      </c>
      <c r="J9" s="15"/>
      <c r="K9" s="18" t="s">
        <v>19</v>
      </c>
      <c r="L9" s="15">
        <v>1</v>
      </c>
      <c r="M9" s="15"/>
      <c r="N9" s="18" t="s">
        <v>23</v>
      </c>
      <c r="O9" s="15">
        <v>1</v>
      </c>
      <c r="R9" s="164" t="s">
        <v>7</v>
      </c>
      <c r="S9" s="165">
        <f>SUM(S7:S8)</f>
        <v>0</v>
      </c>
    </row>
    <row r="10" spans="2:19" ht="54" customHeight="1" x14ac:dyDescent="0.2">
      <c r="B10" s="427" t="s">
        <v>24</v>
      </c>
      <c r="C10" s="427"/>
      <c r="E10" s="16" t="s">
        <v>23</v>
      </c>
      <c r="F10" s="32">
        <v>1</v>
      </c>
      <c r="G10" s="4"/>
      <c r="H10" s="18" t="s">
        <v>21</v>
      </c>
      <c r="I10" s="15">
        <v>2</v>
      </c>
      <c r="J10" s="15"/>
      <c r="K10" s="18" t="s">
        <v>25</v>
      </c>
      <c r="L10" s="15">
        <v>2</v>
      </c>
      <c r="M10" s="15"/>
      <c r="N10" s="18" t="s">
        <v>25</v>
      </c>
      <c r="O10" s="15">
        <v>2</v>
      </c>
    </row>
    <row r="11" spans="2:19" ht="51" x14ac:dyDescent="0.2">
      <c r="B11" t="s">
        <v>6</v>
      </c>
      <c r="C11" t="s">
        <v>7</v>
      </c>
      <c r="E11" s="16" t="s">
        <v>25</v>
      </c>
      <c r="F11" s="32">
        <v>2</v>
      </c>
      <c r="G11" s="4"/>
      <c r="H11" s="18" t="s">
        <v>23</v>
      </c>
      <c r="I11" s="15">
        <v>1</v>
      </c>
      <c r="J11" s="15"/>
      <c r="K11" s="168" t="s">
        <v>26</v>
      </c>
      <c r="L11" s="167">
        <f>SUM(L6:L10)</f>
        <v>4</v>
      </c>
      <c r="M11" s="15"/>
      <c r="N11" s="169" t="s">
        <v>26</v>
      </c>
      <c r="O11" s="167">
        <f>SUM(O6:O10)</f>
        <v>8</v>
      </c>
    </row>
    <row r="12" spans="2:19" ht="68" x14ac:dyDescent="0.2">
      <c r="B12" s="14" t="s">
        <v>27</v>
      </c>
      <c r="C12" s="15"/>
      <c r="E12" s="168" t="s">
        <v>26</v>
      </c>
      <c r="F12" s="171">
        <f>SUM(F6:F11)</f>
        <v>5</v>
      </c>
      <c r="G12" s="4"/>
      <c r="H12" s="16" t="s">
        <v>25</v>
      </c>
      <c r="I12" s="15">
        <v>2</v>
      </c>
      <c r="J12" s="15"/>
      <c r="K12" s="17"/>
      <c r="L12" s="15"/>
      <c r="M12" s="15"/>
      <c r="N12" s="17"/>
      <c r="O12" s="4"/>
      <c r="R12" s="428" t="s">
        <v>28</v>
      </c>
      <c r="S12" s="428"/>
    </row>
    <row r="13" spans="2:19" x14ac:dyDescent="0.2">
      <c r="B13" s="14" t="s">
        <v>29</v>
      </c>
      <c r="C13" s="15"/>
      <c r="E13" s="17"/>
      <c r="F13" s="4"/>
      <c r="G13" s="4"/>
      <c r="H13" s="166" t="s">
        <v>26</v>
      </c>
      <c r="I13" s="167">
        <f>SUM(I6:I12)</f>
        <v>14</v>
      </c>
      <c r="J13" s="15"/>
      <c r="K13" s="17"/>
      <c r="L13" s="15"/>
      <c r="M13" s="15"/>
      <c r="N13" s="17"/>
      <c r="O13" s="4"/>
      <c r="R13" t="s">
        <v>6</v>
      </c>
      <c r="S13" t="s">
        <v>7</v>
      </c>
    </row>
    <row r="14" spans="2:19" x14ac:dyDescent="0.2">
      <c r="B14" s="14" t="s">
        <v>30</v>
      </c>
      <c r="C14" s="15"/>
      <c r="E14" s="17"/>
      <c r="F14" s="4"/>
      <c r="G14" s="4"/>
      <c r="H14" s="17"/>
      <c r="I14" s="15"/>
      <c r="J14" s="15"/>
      <c r="K14" s="17"/>
      <c r="L14" s="15"/>
      <c r="M14" s="15"/>
      <c r="N14" s="17"/>
      <c r="O14" s="4"/>
      <c r="R14" s="14" t="s">
        <v>18</v>
      </c>
      <c r="S14" s="15"/>
    </row>
    <row r="15" spans="2:19" x14ac:dyDescent="0.2">
      <c r="B15" s="14" t="s">
        <v>31</v>
      </c>
      <c r="C15" s="15"/>
      <c r="E15" s="17"/>
      <c r="F15" s="4"/>
      <c r="G15" s="4"/>
      <c r="H15" s="17"/>
      <c r="I15" s="15"/>
      <c r="J15" s="15"/>
      <c r="K15" s="17"/>
      <c r="L15" s="15"/>
      <c r="M15" s="15"/>
      <c r="N15" s="17"/>
      <c r="O15" s="4"/>
      <c r="R15" s="14" t="s">
        <v>22</v>
      </c>
      <c r="S15" s="15"/>
    </row>
    <row r="16" spans="2:19" x14ac:dyDescent="0.2">
      <c r="K16" t="s">
        <v>32</v>
      </c>
      <c r="L16" t="s">
        <v>33</v>
      </c>
      <c r="R16" s="164" t="s">
        <v>7</v>
      </c>
      <c r="S16" s="165">
        <f>SUM(S14:S15)</f>
        <v>0</v>
      </c>
    </row>
    <row r="17" spans="3:12" x14ac:dyDescent="0.2">
      <c r="K17" t="s">
        <v>34</v>
      </c>
      <c r="L17" t="s">
        <v>33</v>
      </c>
    </row>
    <row r="18" spans="3:12" ht="17" thickBot="1" x14ac:dyDescent="0.25"/>
    <row r="19" spans="3:12" ht="17" thickBot="1" x14ac:dyDescent="0.25">
      <c r="C19" s="429" t="s">
        <v>35</v>
      </c>
      <c r="D19" s="430"/>
    </row>
    <row r="20" spans="3:12" ht="17" x14ac:dyDescent="0.2">
      <c r="C20" s="106" t="s">
        <v>36</v>
      </c>
      <c r="D20" s="107" t="s">
        <v>37</v>
      </c>
      <c r="E20" s="319" t="s">
        <v>38</v>
      </c>
    </row>
    <row r="21" spans="3:12" ht="107.25" customHeight="1" x14ac:dyDescent="0.2">
      <c r="C21" s="108" t="s">
        <v>39</v>
      </c>
      <c r="D21" s="109" t="s">
        <v>40</v>
      </c>
      <c r="E21" t="s">
        <v>41</v>
      </c>
    </row>
    <row r="22" spans="3:12" ht="51" x14ac:dyDescent="0.2">
      <c r="C22" s="110" t="s">
        <v>42</v>
      </c>
      <c r="D22" s="111" t="s">
        <v>43</v>
      </c>
      <c r="E22" t="s">
        <v>41</v>
      </c>
    </row>
    <row r="23" spans="3:12" ht="51" x14ac:dyDescent="0.2">
      <c r="C23" s="110" t="s">
        <v>44</v>
      </c>
      <c r="D23" s="111" t="s">
        <v>45</v>
      </c>
      <c r="E23" t="s">
        <v>46</v>
      </c>
    </row>
    <row r="24" spans="3:12" ht="17" x14ac:dyDescent="0.2">
      <c r="C24" s="110" t="s">
        <v>47</v>
      </c>
      <c r="D24" s="111" t="s">
        <v>48</v>
      </c>
      <c r="E24" t="s">
        <v>46</v>
      </c>
    </row>
    <row r="25" spans="3:12" ht="67" customHeight="1" x14ac:dyDescent="0.2">
      <c r="C25" s="110" t="s">
        <v>49</v>
      </c>
      <c r="D25" s="111" t="s">
        <v>50</v>
      </c>
      <c r="E25" t="s">
        <v>46</v>
      </c>
    </row>
    <row r="26" spans="3:12" ht="17" x14ac:dyDescent="0.2">
      <c r="C26" s="110" t="s">
        <v>51</v>
      </c>
      <c r="D26" s="111" t="s">
        <v>52</v>
      </c>
      <c r="E26" t="s">
        <v>46</v>
      </c>
    </row>
    <row r="27" spans="3:12" ht="17" x14ac:dyDescent="0.2">
      <c r="C27" s="110" t="s">
        <v>53</v>
      </c>
      <c r="D27" s="111" t="s">
        <v>54</v>
      </c>
      <c r="E27" t="s">
        <v>46</v>
      </c>
    </row>
  </sheetData>
  <mergeCells count="9">
    <mergeCell ref="R5:S5"/>
    <mergeCell ref="R12:S12"/>
    <mergeCell ref="K4:L4"/>
    <mergeCell ref="N4:O4"/>
    <mergeCell ref="C19:D19"/>
    <mergeCell ref="B10:C10"/>
    <mergeCell ref="B4:C4"/>
    <mergeCell ref="E4:F4"/>
    <mergeCell ref="H4:I4"/>
  </mergeCells>
  <pageMargins left="0.7" right="0.7" top="0.75" bottom="0.75" header="0.3" footer="0.3"/>
  <legacyDrawing r:id="rId1"/>
  <tableParts count="8">
    <tablePart r:id="rId2"/>
    <tablePart r:id="rId3"/>
    <tablePart r:id="rId4"/>
    <tablePart r:id="rId5"/>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3E35-69BD-429C-BA97-7D55EBD2569B}">
  <dimension ref="B1:BD26"/>
  <sheetViews>
    <sheetView workbookViewId="0">
      <pane xSplit="2" topLeftCell="C1" activePane="topRight" state="frozen"/>
      <selection pane="topRight" activeCell="AB5" sqref="AB5"/>
    </sheetView>
  </sheetViews>
  <sheetFormatPr baseColWidth="10" defaultColWidth="8.83203125" defaultRowHeight="16" x14ac:dyDescent="0.2"/>
  <cols>
    <col min="2" max="2" width="20" customWidth="1"/>
    <col min="3" max="3" width="11" customWidth="1"/>
    <col min="4" max="5" width="7.5" customWidth="1"/>
    <col min="6" max="6" width="9.83203125" customWidth="1"/>
    <col min="7" max="7" width="7" customWidth="1"/>
    <col min="8" max="8" width="7.5" customWidth="1"/>
    <col min="9" max="9" width="10.1640625" customWidth="1"/>
  </cols>
  <sheetData>
    <row r="1" spans="2:56" x14ac:dyDescent="0.2">
      <c r="B1" s="20" t="s">
        <v>55</v>
      </c>
      <c r="C1" s="4" t="s">
        <v>56</v>
      </c>
      <c r="D1" s="320" t="s">
        <v>57</v>
      </c>
      <c r="E1" s="320" t="s">
        <v>58</v>
      </c>
      <c r="F1" s="320" t="s">
        <v>59</v>
      </c>
      <c r="G1" s="320" t="s">
        <v>60</v>
      </c>
      <c r="H1" s="320" t="s">
        <v>61</v>
      </c>
      <c r="I1" s="320" t="s">
        <v>62</v>
      </c>
      <c r="J1" s="320" t="s">
        <v>63</v>
      </c>
      <c r="K1" s="320" t="s">
        <v>64</v>
      </c>
      <c r="L1" s="4" t="s">
        <v>65</v>
      </c>
      <c r="M1" s="320" t="s">
        <v>66</v>
      </c>
      <c r="N1" s="320" t="s">
        <v>67</v>
      </c>
      <c r="O1" s="320" t="s">
        <v>68</v>
      </c>
      <c r="P1" s="320" t="s">
        <v>69</v>
      </c>
      <c r="Q1" s="4" t="s">
        <v>70</v>
      </c>
      <c r="R1" s="320" t="s">
        <v>71</v>
      </c>
      <c r="S1" s="320" t="s">
        <v>72</v>
      </c>
      <c r="T1" s="320" t="s">
        <v>73</v>
      </c>
      <c r="U1" s="320" t="s">
        <v>74</v>
      </c>
      <c r="V1" s="320" t="s">
        <v>75</v>
      </c>
      <c r="W1" s="320" t="s">
        <v>76</v>
      </c>
      <c r="X1" s="320" t="s">
        <v>77</v>
      </c>
      <c r="Y1" s="320" t="s">
        <v>78</v>
      </c>
      <c r="Z1" s="320" t="s">
        <v>79</v>
      </c>
      <c r="AA1" s="320" t="s">
        <v>80</v>
      </c>
      <c r="AB1" s="320" t="s">
        <v>81</v>
      </c>
    </row>
    <row r="2" spans="2:56" x14ac:dyDescent="0.2">
      <c r="B2" s="20" t="s">
        <v>82</v>
      </c>
      <c r="C2" s="4" t="s">
        <v>56</v>
      </c>
      <c r="D2" s="4" t="s">
        <v>83</v>
      </c>
      <c r="E2" s="4" t="s">
        <v>84</v>
      </c>
      <c r="F2" s="4" t="s">
        <v>85</v>
      </c>
      <c r="G2" s="4" t="s">
        <v>86</v>
      </c>
      <c r="H2" s="4" t="s">
        <v>87</v>
      </c>
      <c r="I2" s="4" t="s">
        <v>88</v>
      </c>
      <c r="J2" s="4" t="s">
        <v>89</v>
      </c>
      <c r="K2" s="4" t="s">
        <v>90</v>
      </c>
      <c r="L2" s="4" t="s">
        <v>91</v>
      </c>
      <c r="M2" s="4" t="s">
        <v>92</v>
      </c>
      <c r="N2" s="4" t="s">
        <v>93</v>
      </c>
      <c r="O2" s="4" t="s">
        <v>94</v>
      </c>
      <c r="P2" s="4" t="s">
        <v>95</v>
      </c>
      <c r="Q2" s="4" t="s">
        <v>96</v>
      </c>
      <c r="R2" s="4" t="s">
        <v>97</v>
      </c>
      <c r="S2" s="4" t="s">
        <v>98</v>
      </c>
      <c r="T2" s="4" t="s">
        <v>99</v>
      </c>
      <c r="U2" s="4" t="s">
        <v>100</v>
      </c>
      <c r="V2" s="4" t="s">
        <v>101</v>
      </c>
      <c r="W2" s="4" t="s">
        <v>102</v>
      </c>
      <c r="X2" s="4" t="s">
        <v>103</v>
      </c>
      <c r="Y2" s="4" t="s">
        <v>104</v>
      </c>
      <c r="Z2" s="4" t="s">
        <v>105</v>
      </c>
      <c r="AA2" s="4" t="s">
        <v>106</v>
      </c>
      <c r="AB2" s="4" t="s">
        <v>107</v>
      </c>
    </row>
    <row r="3" spans="2:56" x14ac:dyDescent="0.2">
      <c r="B3" s="20" t="s">
        <v>108</v>
      </c>
      <c r="C3" s="4">
        <v>323706</v>
      </c>
      <c r="D3" s="320">
        <v>81795</v>
      </c>
      <c r="E3" s="320">
        <v>797337</v>
      </c>
      <c r="F3" s="320">
        <v>767328</v>
      </c>
      <c r="G3" s="320">
        <v>638390</v>
      </c>
      <c r="H3" s="320">
        <v>680171</v>
      </c>
      <c r="I3" s="4">
        <v>446052</v>
      </c>
      <c r="J3" s="320">
        <v>594544</v>
      </c>
      <c r="K3" s="320">
        <v>606716</v>
      </c>
      <c r="L3" s="320">
        <v>364837</v>
      </c>
      <c r="M3" s="320">
        <v>240600</v>
      </c>
      <c r="N3" s="4">
        <v>905742</v>
      </c>
      <c r="O3" s="320">
        <v>187767</v>
      </c>
      <c r="P3" s="320">
        <v>533201</v>
      </c>
      <c r="Q3" s="320">
        <v>764333</v>
      </c>
      <c r="R3" s="320">
        <v>450504</v>
      </c>
      <c r="S3" s="320">
        <v>569117</v>
      </c>
      <c r="T3" s="4">
        <v>107811</v>
      </c>
      <c r="U3" s="320">
        <v>305363</v>
      </c>
      <c r="V3" s="320">
        <v>821340</v>
      </c>
      <c r="W3" s="320">
        <v>858247</v>
      </c>
      <c r="X3" s="320">
        <v>454050</v>
      </c>
      <c r="Y3" s="320">
        <v>888989</v>
      </c>
      <c r="Z3" s="320">
        <v>131577</v>
      </c>
      <c r="AA3" s="320">
        <v>830521</v>
      </c>
      <c r="AB3" s="320">
        <v>927692</v>
      </c>
    </row>
    <row r="4" spans="2:56" x14ac:dyDescent="0.2">
      <c r="B4" s="9" t="s">
        <v>109</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row>
    <row r="5" spans="2:56" x14ac:dyDescent="0.2">
      <c r="B5" s="11" t="s">
        <v>110</v>
      </c>
      <c r="C5" s="12" t="s">
        <v>13</v>
      </c>
      <c r="D5" s="12" t="s">
        <v>111</v>
      </c>
      <c r="E5" s="12" t="s">
        <v>111</v>
      </c>
      <c r="F5" s="12" t="s">
        <v>13</v>
      </c>
      <c r="G5" s="12" t="s">
        <v>111</v>
      </c>
      <c r="H5" s="12" t="s">
        <v>13</v>
      </c>
      <c r="I5" s="12" t="s">
        <v>111</v>
      </c>
      <c r="J5" s="12" t="s">
        <v>13</v>
      </c>
      <c r="K5" s="12" t="s">
        <v>111</v>
      </c>
      <c r="L5" s="12" t="s">
        <v>13</v>
      </c>
      <c r="M5" s="12" t="s">
        <v>13</v>
      </c>
      <c r="N5" s="12" t="s">
        <v>111</v>
      </c>
      <c r="O5" s="12" t="s">
        <v>111</v>
      </c>
      <c r="P5" s="12" t="s">
        <v>13</v>
      </c>
      <c r="Q5" s="12" t="s">
        <v>13</v>
      </c>
      <c r="R5" s="12" t="s">
        <v>111</v>
      </c>
      <c r="S5" s="12" t="s">
        <v>111</v>
      </c>
      <c r="T5" s="12" t="s">
        <v>111</v>
      </c>
      <c r="U5" s="12" t="s">
        <v>13</v>
      </c>
      <c r="V5" s="12" t="s">
        <v>13</v>
      </c>
      <c r="W5" s="12" t="s">
        <v>13</v>
      </c>
      <c r="X5" s="12" t="s">
        <v>13</v>
      </c>
      <c r="Y5" s="12" t="s">
        <v>13</v>
      </c>
      <c r="Z5" s="12" t="s">
        <v>111</v>
      </c>
      <c r="AA5" s="12" t="s">
        <v>13</v>
      </c>
      <c r="AB5" s="12" t="s">
        <v>13</v>
      </c>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row>
    <row r="6" spans="2:56" ht="34" x14ac:dyDescent="0.2">
      <c r="B6" s="13" t="s">
        <v>112</v>
      </c>
      <c r="C6" s="12" t="s">
        <v>46</v>
      </c>
      <c r="D6" s="12" t="s">
        <v>41</v>
      </c>
      <c r="E6" s="12" t="s">
        <v>41</v>
      </c>
      <c r="F6" s="12" t="s">
        <v>46</v>
      </c>
      <c r="G6" s="12" t="s">
        <v>41</v>
      </c>
      <c r="H6" s="12" t="s">
        <v>46</v>
      </c>
      <c r="I6" s="12" t="s">
        <v>41</v>
      </c>
      <c r="J6" s="12" t="s">
        <v>41</v>
      </c>
      <c r="K6" s="12" t="s">
        <v>41</v>
      </c>
      <c r="L6" s="12" t="s">
        <v>46</v>
      </c>
      <c r="M6" s="12" t="s">
        <v>46</v>
      </c>
      <c r="N6" s="12" t="s">
        <v>46</v>
      </c>
      <c r="O6" s="12" t="s">
        <v>46</v>
      </c>
      <c r="P6" s="12" t="s">
        <v>46</v>
      </c>
      <c r="Q6" s="12" t="s">
        <v>46</v>
      </c>
      <c r="R6" s="12" t="s">
        <v>41</v>
      </c>
      <c r="S6" s="12" t="s">
        <v>41</v>
      </c>
      <c r="T6" s="12" t="s">
        <v>41</v>
      </c>
      <c r="U6" s="12" t="s">
        <v>46</v>
      </c>
      <c r="V6" s="12" t="s">
        <v>46</v>
      </c>
      <c r="W6" s="12" t="s">
        <v>46</v>
      </c>
      <c r="X6" s="12" t="s">
        <v>46</v>
      </c>
      <c r="Y6" s="12" t="s">
        <v>46</v>
      </c>
      <c r="Z6" s="12" t="s">
        <v>41</v>
      </c>
      <c r="AA6" s="12" t="s">
        <v>46</v>
      </c>
      <c r="AB6" s="12" t="s">
        <v>46</v>
      </c>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row>
    <row r="7" spans="2:56" x14ac:dyDescent="0.2">
      <c r="B7" s="11" t="s">
        <v>10</v>
      </c>
      <c r="C7" s="12" t="s">
        <v>46</v>
      </c>
      <c r="D7" s="12" t="s">
        <v>41</v>
      </c>
      <c r="E7" s="12" t="s">
        <v>46</v>
      </c>
      <c r="F7" s="12" t="s">
        <v>46</v>
      </c>
      <c r="G7" s="12" t="s">
        <v>41</v>
      </c>
      <c r="H7" s="12" t="s">
        <v>41</v>
      </c>
      <c r="I7" s="12" t="s">
        <v>41</v>
      </c>
      <c r="J7" s="12" t="s">
        <v>41</v>
      </c>
      <c r="K7" s="12" t="s">
        <v>41</v>
      </c>
      <c r="L7" s="12" t="s">
        <v>46</v>
      </c>
      <c r="M7" s="12" t="s">
        <v>46</v>
      </c>
      <c r="N7" s="12" t="s">
        <v>41</v>
      </c>
      <c r="O7" s="12" t="s">
        <v>41</v>
      </c>
      <c r="P7" s="12" t="s">
        <v>41</v>
      </c>
      <c r="Q7" s="12" t="s">
        <v>41</v>
      </c>
      <c r="R7" s="12" t="s">
        <v>41</v>
      </c>
      <c r="S7" s="12" t="s">
        <v>41</v>
      </c>
      <c r="T7" s="12" t="s">
        <v>41</v>
      </c>
      <c r="U7" s="12" t="s">
        <v>46</v>
      </c>
      <c r="V7" s="12" t="s">
        <v>46</v>
      </c>
      <c r="W7" s="12" t="s">
        <v>46</v>
      </c>
      <c r="X7" s="12" t="s">
        <v>46</v>
      </c>
      <c r="Y7" s="12" t="s">
        <v>46</v>
      </c>
      <c r="Z7" s="12" t="s">
        <v>41</v>
      </c>
      <c r="AA7" s="12" t="s">
        <v>46</v>
      </c>
      <c r="AB7" s="12" t="s">
        <v>46</v>
      </c>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row>
    <row r="8" spans="2:56" x14ac:dyDescent="0.2">
      <c r="B8" s="11" t="s">
        <v>11</v>
      </c>
      <c r="C8" s="12" t="s">
        <v>46</v>
      </c>
      <c r="D8" s="12" t="s">
        <v>46</v>
      </c>
      <c r="E8" s="12" t="s">
        <v>46</v>
      </c>
      <c r="F8" s="12" t="s">
        <v>41</v>
      </c>
      <c r="G8" s="12" t="s">
        <v>46</v>
      </c>
      <c r="H8" s="12" t="s">
        <v>41</v>
      </c>
      <c r="I8" s="12" t="s">
        <v>46</v>
      </c>
      <c r="J8" s="12" t="s">
        <v>41</v>
      </c>
      <c r="K8" s="12" t="s">
        <v>46</v>
      </c>
      <c r="L8" s="12" t="s">
        <v>46</v>
      </c>
      <c r="M8" s="12" t="s">
        <v>46</v>
      </c>
      <c r="N8" s="12" t="s">
        <v>46</v>
      </c>
      <c r="O8" s="12" t="s">
        <v>46</v>
      </c>
      <c r="P8" s="12" t="s">
        <v>46</v>
      </c>
      <c r="Q8" s="12" t="s">
        <v>46</v>
      </c>
      <c r="R8" s="12" t="s">
        <v>46</v>
      </c>
      <c r="S8" s="12" t="s">
        <v>46</v>
      </c>
      <c r="T8" s="12" t="s">
        <v>46</v>
      </c>
      <c r="U8" s="12" t="s">
        <v>46</v>
      </c>
      <c r="V8" s="12" t="s">
        <v>46</v>
      </c>
      <c r="W8" s="12" t="s">
        <v>41</v>
      </c>
      <c r="X8" s="12" t="s">
        <v>46</v>
      </c>
      <c r="Y8" s="12" t="s">
        <v>41</v>
      </c>
      <c r="Z8" s="12" t="s">
        <v>46</v>
      </c>
      <c r="AA8" s="12" t="s">
        <v>41</v>
      </c>
      <c r="AB8" s="12" t="s">
        <v>46</v>
      </c>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row>
    <row r="9" spans="2:56" x14ac:dyDescent="0.2">
      <c r="B9" s="11" t="s">
        <v>12</v>
      </c>
      <c r="C9" s="12" t="s">
        <v>46</v>
      </c>
      <c r="D9" s="12" t="s">
        <v>41</v>
      </c>
      <c r="E9" s="12" t="s">
        <v>46</v>
      </c>
      <c r="F9" s="12" t="s">
        <v>41</v>
      </c>
      <c r="G9" s="12" t="s">
        <v>41</v>
      </c>
      <c r="H9" s="12" t="s">
        <v>41</v>
      </c>
      <c r="I9" s="12" t="s">
        <v>41</v>
      </c>
      <c r="J9" s="12" t="s">
        <v>41</v>
      </c>
      <c r="K9" s="12" t="s">
        <v>41</v>
      </c>
      <c r="L9" s="12" t="s">
        <v>46</v>
      </c>
      <c r="M9" s="12" t="s">
        <v>41</v>
      </c>
      <c r="N9" s="12" t="s">
        <v>46</v>
      </c>
      <c r="O9" s="12" t="s">
        <v>41</v>
      </c>
      <c r="P9" s="12" t="s">
        <v>41</v>
      </c>
      <c r="Q9" s="12" t="s">
        <v>41</v>
      </c>
      <c r="R9" s="12" t="s">
        <v>41</v>
      </c>
      <c r="S9" s="12" t="s">
        <v>41</v>
      </c>
      <c r="T9" s="12" t="s">
        <v>41</v>
      </c>
      <c r="U9" s="12" t="s">
        <v>46</v>
      </c>
      <c r="V9" s="12" t="s">
        <v>41</v>
      </c>
      <c r="W9" s="12" t="s">
        <v>41</v>
      </c>
      <c r="X9" s="12" t="s">
        <v>41</v>
      </c>
      <c r="Y9" s="12" t="s">
        <v>41</v>
      </c>
      <c r="Z9" s="12" t="s">
        <v>46</v>
      </c>
      <c r="AA9" s="12" t="s">
        <v>41</v>
      </c>
      <c r="AB9" s="12" t="s">
        <v>41</v>
      </c>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row>
    <row r="10" spans="2:56" x14ac:dyDescent="0.2">
      <c r="B10" s="9" t="s">
        <v>113</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row>
    <row r="11" spans="2:56" x14ac:dyDescent="0.2">
      <c r="B11" s="11" t="s">
        <v>114</v>
      </c>
      <c r="C11" s="12" t="b">
        <v>0</v>
      </c>
      <c r="D11" s="12" t="b">
        <v>0</v>
      </c>
      <c r="E11" s="12" t="b">
        <v>0</v>
      </c>
      <c r="F11" s="12" t="b">
        <v>0</v>
      </c>
      <c r="G11" s="12" t="b">
        <v>0</v>
      </c>
      <c r="H11" s="12" t="b">
        <v>0</v>
      </c>
      <c r="I11" s="12" t="b">
        <v>0</v>
      </c>
      <c r="J11" s="12" t="b">
        <v>0</v>
      </c>
      <c r="K11" s="12" t="b">
        <v>0</v>
      </c>
      <c r="L11" s="12" t="b">
        <v>0</v>
      </c>
      <c r="M11" s="12" t="b">
        <v>0</v>
      </c>
      <c r="N11" s="12" t="b">
        <v>0</v>
      </c>
      <c r="O11" s="12" t="b">
        <v>0</v>
      </c>
      <c r="P11" s="12" t="b">
        <v>0</v>
      </c>
      <c r="Q11" s="12" t="b">
        <v>0</v>
      </c>
      <c r="R11" s="12" t="b">
        <v>0</v>
      </c>
      <c r="S11" s="12" t="b">
        <v>0</v>
      </c>
      <c r="T11" s="12" t="b">
        <v>0</v>
      </c>
      <c r="U11" s="12" t="b">
        <v>0</v>
      </c>
      <c r="V11" s="12" t="b">
        <v>0</v>
      </c>
      <c r="W11" s="12" t="b">
        <v>0</v>
      </c>
      <c r="X11" s="12" t="b">
        <v>0</v>
      </c>
      <c r="Y11" s="12" t="b">
        <v>0</v>
      </c>
      <c r="Z11" s="12" t="b">
        <v>0</v>
      </c>
      <c r="AA11" s="12" t="b">
        <v>0</v>
      </c>
      <c r="AB11" s="12" t="b">
        <v>0</v>
      </c>
      <c r="AC11" s="12" t="b">
        <v>0</v>
      </c>
      <c r="AD11" s="12" t="b">
        <v>0</v>
      </c>
      <c r="AE11" s="12" t="b">
        <v>0</v>
      </c>
      <c r="AF11" s="12" t="b">
        <v>0</v>
      </c>
      <c r="AG11" s="12" t="b">
        <v>0</v>
      </c>
      <c r="AH11" s="12" t="b">
        <v>0</v>
      </c>
      <c r="AI11" s="12" t="b">
        <v>0</v>
      </c>
      <c r="AJ11" s="12" t="b">
        <v>0</v>
      </c>
      <c r="AK11" s="12" t="b">
        <v>0</v>
      </c>
      <c r="AL11" s="12" t="b">
        <v>0</v>
      </c>
      <c r="AM11" s="12" t="b">
        <v>0</v>
      </c>
      <c r="AN11" s="12" t="b">
        <v>0</v>
      </c>
      <c r="AO11" s="12" t="b">
        <v>0</v>
      </c>
      <c r="AP11" s="12" t="b">
        <v>0</v>
      </c>
      <c r="AQ11" s="12" t="b">
        <v>0</v>
      </c>
      <c r="AR11" s="12" t="b">
        <v>0</v>
      </c>
      <c r="AS11" s="12" t="b">
        <v>0</v>
      </c>
      <c r="AT11" s="12" t="b">
        <v>0</v>
      </c>
      <c r="AU11" s="12" t="b">
        <v>0</v>
      </c>
      <c r="AV11" s="12" t="b">
        <v>0</v>
      </c>
      <c r="AW11" s="12" t="b">
        <v>0</v>
      </c>
      <c r="AX11" s="12" t="b">
        <v>0</v>
      </c>
      <c r="AY11" s="12" t="b">
        <v>0</v>
      </c>
      <c r="AZ11" s="12" t="b">
        <v>0</v>
      </c>
      <c r="BA11" s="12" t="b">
        <v>0</v>
      </c>
      <c r="BB11" s="12" t="b">
        <v>0</v>
      </c>
      <c r="BC11" s="12" t="b">
        <v>0</v>
      </c>
      <c r="BD11" s="12" t="b">
        <v>0</v>
      </c>
    </row>
    <row r="12" spans="2:56" x14ac:dyDescent="0.2">
      <c r="B12" s="11" t="s">
        <v>115</v>
      </c>
      <c r="C12" s="12" t="b">
        <v>0</v>
      </c>
      <c r="D12" s="12" t="b">
        <v>0</v>
      </c>
      <c r="E12" s="12" t="b">
        <v>0</v>
      </c>
      <c r="F12" s="12" t="b">
        <v>0</v>
      </c>
      <c r="G12" s="12" t="b">
        <v>0</v>
      </c>
      <c r="H12" s="12" t="b">
        <v>0</v>
      </c>
      <c r="I12" s="12" t="b">
        <v>0</v>
      </c>
      <c r="J12" s="12" t="b">
        <v>0</v>
      </c>
      <c r="K12" s="12" t="b">
        <v>0</v>
      </c>
      <c r="L12" s="12" t="b">
        <v>0</v>
      </c>
      <c r="M12" s="12" t="b">
        <v>0</v>
      </c>
      <c r="N12" s="12" t="b">
        <v>0</v>
      </c>
      <c r="O12" s="12" t="b">
        <v>0</v>
      </c>
      <c r="P12" s="12" t="b">
        <v>0</v>
      </c>
      <c r="Q12" s="12" t="b">
        <v>0</v>
      </c>
      <c r="R12" s="12" t="b">
        <v>0</v>
      </c>
      <c r="S12" s="12" t="b">
        <v>0</v>
      </c>
      <c r="T12" s="12" t="b">
        <v>0</v>
      </c>
      <c r="U12" s="12" t="b">
        <v>0</v>
      </c>
      <c r="V12" s="12" t="b">
        <v>0</v>
      </c>
      <c r="W12" s="12" t="b">
        <v>0</v>
      </c>
      <c r="X12" s="12" t="b">
        <v>0</v>
      </c>
      <c r="Y12" s="12" t="b">
        <v>0</v>
      </c>
      <c r="Z12" s="12" t="b">
        <v>0</v>
      </c>
      <c r="AA12" s="12" t="b">
        <v>0</v>
      </c>
      <c r="AB12" s="12" t="b">
        <v>0</v>
      </c>
      <c r="AC12" s="12" t="b">
        <v>0</v>
      </c>
      <c r="AD12" s="12" t="b">
        <v>0</v>
      </c>
      <c r="AE12" s="12" t="b">
        <v>0</v>
      </c>
      <c r="AF12" s="12" t="b">
        <v>0</v>
      </c>
      <c r="AG12" s="12" t="b">
        <v>0</v>
      </c>
      <c r="AH12" s="12" t="b">
        <v>0</v>
      </c>
      <c r="AI12" s="12" t="b">
        <v>0</v>
      </c>
      <c r="AJ12" s="12" t="b">
        <v>0</v>
      </c>
      <c r="AK12" s="12" t="b">
        <v>0</v>
      </c>
      <c r="AL12" s="12" t="b">
        <v>0</v>
      </c>
      <c r="AM12" s="12" t="b">
        <v>0</v>
      </c>
      <c r="AN12" s="12" t="b">
        <v>0</v>
      </c>
      <c r="AO12" s="12" t="b">
        <v>0</v>
      </c>
      <c r="AP12" s="12" t="b">
        <v>0</v>
      </c>
      <c r="AQ12" s="12" t="b">
        <v>0</v>
      </c>
      <c r="AR12" s="12" t="b">
        <v>0</v>
      </c>
      <c r="AS12" s="12" t="b">
        <v>0</v>
      </c>
      <c r="AT12" s="12" t="b">
        <v>0</v>
      </c>
      <c r="AU12" s="12" t="b">
        <v>0</v>
      </c>
      <c r="AV12" s="12" t="b">
        <v>0</v>
      </c>
      <c r="AW12" s="12" t="b">
        <v>0</v>
      </c>
      <c r="AX12" s="12" t="b">
        <v>0</v>
      </c>
      <c r="AY12" s="12" t="b">
        <v>0</v>
      </c>
      <c r="AZ12" s="12" t="b">
        <v>0</v>
      </c>
      <c r="BA12" s="12" t="b">
        <v>0</v>
      </c>
      <c r="BB12" s="12" t="b">
        <v>0</v>
      </c>
      <c r="BC12" s="12" t="b">
        <v>0</v>
      </c>
      <c r="BD12" s="12" t="b">
        <v>0</v>
      </c>
    </row>
    <row r="13" spans="2:56" x14ac:dyDescent="0.2">
      <c r="B13" s="11" t="s">
        <v>116</v>
      </c>
      <c r="C13" s="12" t="b">
        <v>0</v>
      </c>
      <c r="D13" s="12" t="b">
        <v>0</v>
      </c>
      <c r="E13" s="12" t="b">
        <v>0</v>
      </c>
      <c r="F13" s="12" t="b">
        <v>0</v>
      </c>
      <c r="G13" s="12" t="b">
        <v>0</v>
      </c>
      <c r="H13" s="12" t="b">
        <v>0</v>
      </c>
      <c r="I13" s="12" t="b">
        <v>0</v>
      </c>
      <c r="J13" s="12" t="b">
        <v>0</v>
      </c>
      <c r="K13" s="12" t="b">
        <v>0</v>
      </c>
      <c r="L13" s="12" t="b">
        <v>0</v>
      </c>
      <c r="M13" s="12" t="b">
        <v>0</v>
      </c>
      <c r="N13" s="12" t="b">
        <v>0</v>
      </c>
      <c r="O13" s="12" t="b">
        <v>0</v>
      </c>
      <c r="P13" s="12" t="b">
        <v>0</v>
      </c>
      <c r="Q13" s="12" t="b">
        <v>0</v>
      </c>
      <c r="R13" s="12" t="b">
        <v>0</v>
      </c>
      <c r="S13" s="12" t="b">
        <v>0</v>
      </c>
      <c r="T13" s="12" t="b">
        <v>0</v>
      </c>
      <c r="U13" s="12" t="b">
        <v>0</v>
      </c>
      <c r="V13" s="12" t="b">
        <v>0</v>
      </c>
      <c r="W13" s="12" t="b">
        <v>0</v>
      </c>
      <c r="X13" s="12" t="b">
        <v>0</v>
      </c>
      <c r="Y13" s="12" t="b">
        <v>0</v>
      </c>
      <c r="Z13" s="12" t="b">
        <v>0</v>
      </c>
      <c r="AA13" s="12" t="b">
        <v>0</v>
      </c>
      <c r="AB13" s="12" t="b">
        <v>0</v>
      </c>
      <c r="AC13" s="12" t="b">
        <v>0</v>
      </c>
      <c r="AD13" s="12" t="b">
        <v>0</v>
      </c>
      <c r="AE13" s="12" t="b">
        <v>0</v>
      </c>
      <c r="AF13" s="12" t="b">
        <v>0</v>
      </c>
      <c r="AG13" s="12" t="b">
        <v>0</v>
      </c>
      <c r="AH13" s="12" t="b">
        <v>0</v>
      </c>
      <c r="AI13" s="12" t="b">
        <v>0</v>
      </c>
      <c r="AJ13" s="12" t="b">
        <v>0</v>
      </c>
      <c r="AK13" s="12" t="b">
        <v>0</v>
      </c>
      <c r="AL13" s="12" t="b">
        <v>0</v>
      </c>
      <c r="AM13" s="12" t="b">
        <v>0</v>
      </c>
      <c r="AN13" s="12" t="b">
        <v>0</v>
      </c>
      <c r="AO13" s="12" t="b">
        <v>0</v>
      </c>
      <c r="AP13" s="12" t="b">
        <v>0</v>
      </c>
      <c r="AQ13" s="12" t="b">
        <v>0</v>
      </c>
      <c r="AR13" s="12" t="b">
        <v>0</v>
      </c>
      <c r="AS13" s="12" t="b">
        <v>0</v>
      </c>
      <c r="AT13" s="12" t="b">
        <v>0</v>
      </c>
      <c r="AU13" s="12" t="b">
        <v>0</v>
      </c>
      <c r="AV13" s="12" t="b">
        <v>0</v>
      </c>
      <c r="AW13" s="12" t="b">
        <v>0</v>
      </c>
      <c r="AX13" s="12" t="b">
        <v>0</v>
      </c>
      <c r="AY13" s="12" t="b">
        <v>0</v>
      </c>
      <c r="AZ13" s="12" t="b">
        <v>0</v>
      </c>
      <c r="BA13" s="12" t="b">
        <v>0</v>
      </c>
      <c r="BB13" s="12" t="b">
        <v>0</v>
      </c>
      <c r="BC13" s="12" t="b">
        <v>0</v>
      </c>
      <c r="BD13" s="12" t="b">
        <v>0</v>
      </c>
    </row>
    <row r="14" spans="2:56" x14ac:dyDescent="0.2">
      <c r="B14" s="11" t="s">
        <v>117</v>
      </c>
      <c r="C14" s="12" t="b">
        <v>0</v>
      </c>
      <c r="D14" s="12" t="b">
        <v>0</v>
      </c>
      <c r="E14" s="12" t="b">
        <v>0</v>
      </c>
      <c r="F14" s="12" t="b">
        <v>0</v>
      </c>
      <c r="G14" s="12" t="b">
        <v>0</v>
      </c>
      <c r="H14" s="12" t="b">
        <v>0</v>
      </c>
      <c r="I14" s="12" t="b">
        <v>0</v>
      </c>
      <c r="J14" s="12" t="b">
        <v>0</v>
      </c>
      <c r="K14" s="12" t="b">
        <v>0</v>
      </c>
      <c r="L14" s="12" t="b">
        <v>0</v>
      </c>
      <c r="M14" s="12" t="b">
        <v>0</v>
      </c>
      <c r="N14" s="12" t="b">
        <v>0</v>
      </c>
      <c r="O14" s="12" t="b">
        <v>0</v>
      </c>
      <c r="P14" s="12" t="b">
        <v>0</v>
      </c>
      <c r="Q14" s="12" t="b">
        <v>0</v>
      </c>
      <c r="R14" s="12" t="b">
        <v>0</v>
      </c>
      <c r="S14" s="12" t="b">
        <v>0</v>
      </c>
      <c r="T14" s="12" t="b">
        <v>0</v>
      </c>
      <c r="U14" s="12" t="b">
        <v>0</v>
      </c>
      <c r="V14" s="12" t="b">
        <v>0</v>
      </c>
      <c r="W14" s="12" t="b">
        <v>0</v>
      </c>
      <c r="X14" s="12" t="b">
        <v>0</v>
      </c>
      <c r="Y14" s="12" t="b">
        <v>0</v>
      </c>
      <c r="Z14" s="12" t="b">
        <v>0</v>
      </c>
      <c r="AA14" s="12" t="b">
        <v>0</v>
      </c>
      <c r="AB14" s="12" t="b">
        <v>0</v>
      </c>
      <c r="AC14" s="12" t="b">
        <v>0</v>
      </c>
      <c r="AD14" s="12" t="b">
        <v>0</v>
      </c>
      <c r="AE14" s="12" t="b">
        <v>0</v>
      </c>
      <c r="AF14" s="12" t="b">
        <v>0</v>
      </c>
      <c r="AG14" s="12" t="b">
        <v>0</v>
      </c>
      <c r="AH14" s="12" t="b">
        <v>0</v>
      </c>
      <c r="AI14" s="12" t="b">
        <v>0</v>
      </c>
      <c r="AJ14" s="12" t="b">
        <v>0</v>
      </c>
      <c r="AK14" s="12" t="b">
        <v>0</v>
      </c>
      <c r="AL14" s="12" t="b">
        <v>0</v>
      </c>
      <c r="AM14" s="12" t="b">
        <v>0</v>
      </c>
      <c r="AN14" s="12" t="b">
        <v>0</v>
      </c>
      <c r="AO14" s="12" t="b">
        <v>0</v>
      </c>
      <c r="AP14" s="12" t="b">
        <v>0</v>
      </c>
      <c r="AQ14" s="12" t="b">
        <v>0</v>
      </c>
      <c r="AR14" s="12" t="b">
        <v>0</v>
      </c>
      <c r="AS14" s="12" t="b">
        <v>0</v>
      </c>
      <c r="AT14" s="12" t="b">
        <v>0</v>
      </c>
      <c r="AU14" s="12" t="b">
        <v>0</v>
      </c>
      <c r="AV14" s="12" t="b">
        <v>0</v>
      </c>
      <c r="AW14" s="12" t="b">
        <v>0</v>
      </c>
      <c r="AX14" s="12" t="b">
        <v>0</v>
      </c>
      <c r="AY14" s="12" t="b">
        <v>0</v>
      </c>
      <c r="AZ14" s="12" t="b">
        <v>0</v>
      </c>
      <c r="BA14" s="12" t="b">
        <v>0</v>
      </c>
      <c r="BB14" s="12" t="b">
        <v>0</v>
      </c>
      <c r="BC14" s="12" t="b">
        <v>0</v>
      </c>
      <c r="BD14" s="12" t="b">
        <v>0</v>
      </c>
    </row>
    <row r="15" spans="2:56" x14ac:dyDescent="0.2">
      <c r="B15" s="11" t="s">
        <v>118</v>
      </c>
      <c r="C15" s="12" t="b">
        <v>0</v>
      </c>
      <c r="D15" s="12" t="b">
        <v>0</v>
      </c>
      <c r="E15" s="12" t="b">
        <v>0</v>
      </c>
      <c r="F15" s="12" t="b">
        <v>0</v>
      </c>
      <c r="G15" s="12" t="b">
        <v>0</v>
      </c>
      <c r="H15" s="12" t="b">
        <v>0</v>
      </c>
      <c r="I15" s="12" t="b">
        <v>0</v>
      </c>
      <c r="J15" s="12" t="b">
        <v>0</v>
      </c>
      <c r="K15" s="12" t="b">
        <v>0</v>
      </c>
      <c r="L15" s="12" t="b">
        <v>0</v>
      </c>
      <c r="M15" s="12" t="b">
        <v>0</v>
      </c>
      <c r="N15" s="12" t="b">
        <v>0</v>
      </c>
      <c r="O15" s="12" t="b">
        <v>0</v>
      </c>
      <c r="P15" s="12" t="b">
        <v>0</v>
      </c>
      <c r="Q15" s="12" t="b">
        <v>0</v>
      </c>
      <c r="R15" s="12" t="b">
        <v>0</v>
      </c>
      <c r="S15" s="12" t="b">
        <v>0</v>
      </c>
      <c r="T15" s="12" t="b">
        <v>0</v>
      </c>
      <c r="U15" s="12" t="b">
        <v>0</v>
      </c>
      <c r="V15" s="12" t="b">
        <v>0</v>
      </c>
      <c r="W15" s="12" t="b">
        <v>0</v>
      </c>
      <c r="X15" s="12" t="b">
        <v>0</v>
      </c>
      <c r="Y15" s="12" t="b">
        <v>0</v>
      </c>
      <c r="Z15" s="12" t="b">
        <v>0</v>
      </c>
      <c r="AA15" s="12" t="b">
        <v>0</v>
      </c>
      <c r="AB15" s="12" t="b">
        <v>0</v>
      </c>
      <c r="AC15" s="12" t="b">
        <v>0</v>
      </c>
      <c r="AD15" s="12" t="b">
        <v>0</v>
      </c>
      <c r="AE15" s="12" t="b">
        <v>0</v>
      </c>
      <c r="AF15" s="12" t="b">
        <v>0</v>
      </c>
      <c r="AG15" s="12" t="b">
        <v>0</v>
      </c>
      <c r="AH15" s="12" t="b">
        <v>0</v>
      </c>
      <c r="AI15" s="12" t="b">
        <v>0</v>
      </c>
      <c r="AJ15" s="12" t="b">
        <v>0</v>
      </c>
      <c r="AK15" s="12" t="b">
        <v>0</v>
      </c>
      <c r="AL15" s="12" t="b">
        <v>0</v>
      </c>
      <c r="AM15" s="12" t="b">
        <v>0</v>
      </c>
      <c r="AN15" s="12" t="b">
        <v>0</v>
      </c>
      <c r="AO15" s="12" t="b">
        <v>0</v>
      </c>
      <c r="AP15" s="12" t="b">
        <v>0</v>
      </c>
      <c r="AQ15" s="12" t="b">
        <v>0</v>
      </c>
      <c r="AR15" s="12" t="b">
        <v>0</v>
      </c>
      <c r="AS15" s="12" t="b">
        <v>0</v>
      </c>
      <c r="AT15" s="12" t="b">
        <v>0</v>
      </c>
      <c r="AU15" s="12" t="b">
        <v>0</v>
      </c>
      <c r="AV15" s="12" t="b">
        <v>0</v>
      </c>
      <c r="AW15" s="12" t="b">
        <v>0</v>
      </c>
      <c r="AX15" s="12" t="b">
        <v>0</v>
      </c>
      <c r="AY15" s="12" t="b">
        <v>0</v>
      </c>
      <c r="AZ15" s="12" t="b">
        <v>0</v>
      </c>
      <c r="BA15" s="12" t="b">
        <v>0</v>
      </c>
      <c r="BB15" s="12" t="b">
        <v>0</v>
      </c>
      <c r="BC15" s="12" t="b">
        <v>0</v>
      </c>
      <c r="BD15" s="12" t="b">
        <v>0</v>
      </c>
    </row>
    <row r="16" spans="2:56" x14ac:dyDescent="0.2">
      <c r="B16" s="11" t="s">
        <v>119</v>
      </c>
      <c r="C16" s="12" t="b">
        <v>0</v>
      </c>
      <c r="D16" s="12" t="b">
        <v>0</v>
      </c>
      <c r="E16" s="12" t="b">
        <v>0</v>
      </c>
      <c r="F16" s="12" t="b">
        <v>0</v>
      </c>
      <c r="G16" s="12" t="b">
        <v>0</v>
      </c>
      <c r="H16" s="12" t="b">
        <v>0</v>
      </c>
      <c r="I16" s="12" t="b">
        <v>0</v>
      </c>
      <c r="J16" s="12" t="b">
        <v>0</v>
      </c>
      <c r="K16" s="12" t="b">
        <v>0</v>
      </c>
      <c r="L16" s="12" t="b">
        <v>0</v>
      </c>
      <c r="M16" s="12" t="b">
        <v>0</v>
      </c>
      <c r="N16" s="12" t="b">
        <v>0</v>
      </c>
      <c r="O16" s="12" t="b">
        <v>0</v>
      </c>
      <c r="P16" s="12" t="b">
        <v>0</v>
      </c>
      <c r="Q16" s="12" t="b">
        <v>0</v>
      </c>
      <c r="R16" s="12" t="b">
        <v>0</v>
      </c>
      <c r="S16" s="12" t="b">
        <v>0</v>
      </c>
      <c r="T16" s="12" t="b">
        <v>0</v>
      </c>
      <c r="U16" s="12" t="b">
        <v>0</v>
      </c>
      <c r="V16" s="12" t="b">
        <v>0</v>
      </c>
      <c r="W16" s="12" t="b">
        <v>0</v>
      </c>
      <c r="X16" s="12" t="b">
        <v>0</v>
      </c>
      <c r="Y16" s="12" t="b">
        <v>0</v>
      </c>
      <c r="Z16" s="12" t="b">
        <v>0</v>
      </c>
      <c r="AA16" s="12" t="b">
        <v>0</v>
      </c>
      <c r="AB16" s="12" t="b">
        <v>0</v>
      </c>
      <c r="AC16" s="12" t="b">
        <v>0</v>
      </c>
      <c r="AD16" s="12" t="b">
        <v>0</v>
      </c>
      <c r="AE16" s="12" t="b">
        <v>0</v>
      </c>
      <c r="AF16" s="12" t="b">
        <v>0</v>
      </c>
      <c r="AG16" s="12" t="b">
        <v>0</v>
      </c>
      <c r="AH16" s="12" t="b">
        <v>0</v>
      </c>
      <c r="AI16" s="12" t="b">
        <v>0</v>
      </c>
      <c r="AJ16" s="12" t="b">
        <v>0</v>
      </c>
      <c r="AK16" s="12" t="b">
        <v>0</v>
      </c>
      <c r="AL16" s="12" t="b">
        <v>0</v>
      </c>
      <c r="AM16" s="12" t="b">
        <v>0</v>
      </c>
      <c r="AN16" s="12" t="b">
        <v>0</v>
      </c>
      <c r="AO16" s="12" t="b">
        <v>0</v>
      </c>
      <c r="AP16" s="12" t="b">
        <v>0</v>
      </c>
      <c r="AQ16" s="12" t="b">
        <v>0</v>
      </c>
      <c r="AR16" s="12" t="b">
        <v>0</v>
      </c>
      <c r="AS16" s="12" t="b">
        <v>0</v>
      </c>
      <c r="AT16" s="12" t="b">
        <v>0</v>
      </c>
      <c r="AU16" s="12" t="b">
        <v>0</v>
      </c>
      <c r="AV16" s="12" t="b">
        <v>0</v>
      </c>
      <c r="AW16" s="12" t="b">
        <v>0</v>
      </c>
      <c r="AX16" s="12" t="b">
        <v>0</v>
      </c>
      <c r="AY16" s="12" t="b">
        <v>0</v>
      </c>
      <c r="AZ16" s="12" t="b">
        <v>0</v>
      </c>
      <c r="BA16" s="12" t="b">
        <v>0</v>
      </c>
      <c r="BB16" s="12" t="b">
        <v>0</v>
      </c>
      <c r="BC16" s="12" t="b">
        <v>0</v>
      </c>
      <c r="BD16" s="12" t="b">
        <v>0</v>
      </c>
    </row>
    <row r="17" spans="2:56" x14ac:dyDescent="0.2">
      <c r="B17" s="11" t="s">
        <v>120</v>
      </c>
      <c r="C17" s="12" t="b">
        <v>0</v>
      </c>
      <c r="D17" s="12" t="b">
        <v>0</v>
      </c>
      <c r="E17" s="12" t="b">
        <v>0</v>
      </c>
      <c r="F17" s="12" t="b">
        <v>0</v>
      </c>
      <c r="G17" s="12" t="b">
        <v>0</v>
      </c>
      <c r="H17" s="12" t="b">
        <v>0</v>
      </c>
      <c r="I17" s="12" t="b">
        <v>0</v>
      </c>
      <c r="J17" s="12" t="b">
        <v>0</v>
      </c>
      <c r="K17" s="12" t="b">
        <v>0</v>
      </c>
      <c r="L17" s="12" t="b">
        <v>0</v>
      </c>
      <c r="M17" s="12" t="b">
        <v>0</v>
      </c>
      <c r="N17" s="12" t="b">
        <v>0</v>
      </c>
      <c r="O17" s="12" t="b">
        <v>0</v>
      </c>
      <c r="P17" s="12" t="b">
        <v>0</v>
      </c>
      <c r="Q17" s="12" t="b">
        <v>0</v>
      </c>
      <c r="R17" s="12" t="b">
        <v>0</v>
      </c>
      <c r="S17" s="12" t="b">
        <v>0</v>
      </c>
      <c r="T17" s="12" t="b">
        <v>0</v>
      </c>
      <c r="U17" s="12" t="b">
        <v>0</v>
      </c>
      <c r="V17" s="12" t="b">
        <v>0</v>
      </c>
      <c r="W17" s="12" t="b">
        <v>0</v>
      </c>
      <c r="X17" s="12" t="b">
        <v>0</v>
      </c>
      <c r="Y17" s="12" t="b">
        <v>0</v>
      </c>
      <c r="Z17" s="12" t="b">
        <v>0</v>
      </c>
      <c r="AA17" s="12" t="b">
        <v>0</v>
      </c>
      <c r="AB17" s="12" t="b">
        <v>0</v>
      </c>
      <c r="AC17" s="12" t="b">
        <v>0</v>
      </c>
      <c r="AD17" s="12" t="b">
        <v>0</v>
      </c>
      <c r="AE17" s="12" t="b">
        <v>0</v>
      </c>
      <c r="AF17" s="12" t="b">
        <v>0</v>
      </c>
      <c r="AG17" s="12" t="b">
        <v>0</v>
      </c>
      <c r="AH17" s="12" t="b">
        <v>0</v>
      </c>
      <c r="AI17" s="12" t="b">
        <v>0</v>
      </c>
      <c r="AJ17" s="12" t="b">
        <v>0</v>
      </c>
      <c r="AK17" s="12" t="b">
        <v>0</v>
      </c>
      <c r="AL17" s="12" t="b">
        <v>0</v>
      </c>
      <c r="AM17" s="12" t="b">
        <v>0</v>
      </c>
      <c r="AN17" s="12" t="b">
        <v>0</v>
      </c>
      <c r="AO17" s="12" t="b">
        <v>0</v>
      </c>
      <c r="AP17" s="12" t="b">
        <v>0</v>
      </c>
      <c r="AQ17" s="12" t="b">
        <v>0</v>
      </c>
      <c r="AR17" s="12" t="b">
        <v>0</v>
      </c>
      <c r="AS17" s="12" t="b">
        <v>0</v>
      </c>
      <c r="AT17" s="12" t="b">
        <v>0</v>
      </c>
      <c r="AU17" s="12" t="b">
        <v>0</v>
      </c>
      <c r="AV17" s="12" t="b">
        <v>0</v>
      </c>
      <c r="AW17" s="12" t="b">
        <v>0</v>
      </c>
      <c r="AX17" s="12" t="b">
        <v>0</v>
      </c>
      <c r="AY17" s="12" t="b">
        <v>0</v>
      </c>
      <c r="AZ17" s="12" t="b">
        <v>0</v>
      </c>
      <c r="BA17" s="12" t="b">
        <v>0</v>
      </c>
      <c r="BB17" s="12" t="b">
        <v>0</v>
      </c>
      <c r="BC17" s="12" t="b">
        <v>0</v>
      </c>
      <c r="BD17" s="12" t="b">
        <v>0</v>
      </c>
    </row>
    <row r="18" spans="2:56" x14ac:dyDescent="0.2">
      <c r="B18" s="9" t="s">
        <v>121</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2:56" x14ac:dyDescent="0.2">
      <c r="B19" s="11" t="s">
        <v>122</v>
      </c>
      <c r="C19" s="12" t="b">
        <v>0</v>
      </c>
      <c r="D19" s="12" t="b">
        <v>0</v>
      </c>
      <c r="E19" s="12" t="b">
        <v>0</v>
      </c>
      <c r="F19" s="12" t="b">
        <v>0</v>
      </c>
      <c r="G19" s="12" t="b">
        <v>0</v>
      </c>
      <c r="H19" s="12" t="b">
        <v>0</v>
      </c>
      <c r="I19" s="12" t="b">
        <v>0</v>
      </c>
      <c r="J19" s="12" t="b">
        <v>0</v>
      </c>
      <c r="K19" s="12" t="b">
        <v>0</v>
      </c>
      <c r="L19" s="12" t="b">
        <v>0</v>
      </c>
      <c r="M19" s="12" t="b">
        <v>0</v>
      </c>
      <c r="N19" s="12" t="b">
        <v>0</v>
      </c>
      <c r="O19" s="12" t="b">
        <v>0</v>
      </c>
      <c r="P19" s="12" t="b">
        <v>0</v>
      </c>
      <c r="Q19" s="12" t="b">
        <v>0</v>
      </c>
      <c r="R19" s="12" t="b">
        <v>0</v>
      </c>
      <c r="S19" s="12" t="b">
        <v>0</v>
      </c>
      <c r="T19" s="12" t="b">
        <v>0</v>
      </c>
      <c r="U19" s="12" t="b">
        <v>0</v>
      </c>
      <c r="V19" s="12" t="b">
        <v>0</v>
      </c>
      <c r="W19" s="12" t="b">
        <v>0</v>
      </c>
      <c r="X19" s="12" t="b">
        <v>0</v>
      </c>
      <c r="Y19" s="12" t="b">
        <v>0</v>
      </c>
      <c r="Z19" s="12" t="b">
        <v>0</v>
      </c>
      <c r="AA19" s="12" t="b">
        <v>0</v>
      </c>
      <c r="AB19" s="12" t="b">
        <v>0</v>
      </c>
      <c r="AC19" s="12" t="b">
        <v>0</v>
      </c>
      <c r="AD19" s="12" t="b">
        <v>0</v>
      </c>
      <c r="AE19" s="12" t="b">
        <v>0</v>
      </c>
      <c r="AF19" s="12" t="b">
        <v>0</v>
      </c>
      <c r="AG19" s="12" t="b">
        <v>0</v>
      </c>
      <c r="AH19" s="12" t="b">
        <v>0</v>
      </c>
      <c r="AI19" s="12" t="b">
        <v>0</v>
      </c>
      <c r="AJ19" s="12" t="b">
        <v>0</v>
      </c>
      <c r="AK19" s="12" t="b">
        <v>0</v>
      </c>
      <c r="AL19" s="12" t="b">
        <v>0</v>
      </c>
      <c r="AM19" s="12" t="b">
        <v>0</v>
      </c>
      <c r="AN19" s="12" t="b">
        <v>0</v>
      </c>
      <c r="AO19" s="12" t="b">
        <v>0</v>
      </c>
      <c r="AP19" s="12" t="b">
        <v>0</v>
      </c>
      <c r="AQ19" s="12" t="b">
        <v>0</v>
      </c>
      <c r="AR19" s="12" t="b">
        <v>0</v>
      </c>
      <c r="AS19" s="12" t="b">
        <v>0</v>
      </c>
      <c r="AT19" s="12" t="b">
        <v>0</v>
      </c>
      <c r="AU19" s="12" t="b">
        <v>0</v>
      </c>
      <c r="AV19" s="12" t="b">
        <v>0</v>
      </c>
      <c r="AW19" s="12" t="b">
        <v>0</v>
      </c>
      <c r="AX19" s="12" t="b">
        <v>0</v>
      </c>
      <c r="AY19" s="12" t="b">
        <v>0</v>
      </c>
      <c r="AZ19" s="12" t="b">
        <v>0</v>
      </c>
      <c r="BA19" s="12" t="b">
        <v>0</v>
      </c>
      <c r="BB19" s="12" t="b">
        <v>0</v>
      </c>
      <c r="BC19" s="12" t="b">
        <v>0</v>
      </c>
      <c r="BD19" s="12" t="b">
        <v>0</v>
      </c>
    </row>
    <row r="20" spans="2:56" x14ac:dyDescent="0.2">
      <c r="B20" s="11" t="s">
        <v>123</v>
      </c>
      <c r="C20" s="12" t="b">
        <v>0</v>
      </c>
      <c r="D20" s="12" t="b">
        <v>0</v>
      </c>
      <c r="E20" s="12" t="b">
        <v>0</v>
      </c>
      <c r="F20" s="12" t="b">
        <v>0</v>
      </c>
      <c r="G20" s="12" t="b">
        <v>0</v>
      </c>
      <c r="H20" s="12" t="b">
        <v>0</v>
      </c>
      <c r="I20" s="12" t="b">
        <v>0</v>
      </c>
      <c r="J20" s="12" t="b">
        <v>0</v>
      </c>
      <c r="K20" s="12" t="b">
        <v>0</v>
      </c>
      <c r="L20" s="12" t="b">
        <v>0</v>
      </c>
      <c r="M20" s="12" t="b">
        <v>0</v>
      </c>
      <c r="N20" s="12" t="b">
        <v>0</v>
      </c>
      <c r="O20" s="12" t="b">
        <v>0</v>
      </c>
      <c r="P20" s="12" t="b">
        <v>0</v>
      </c>
      <c r="Q20" s="12" t="b">
        <v>0</v>
      </c>
      <c r="R20" s="12" t="b">
        <v>0</v>
      </c>
      <c r="S20" s="12" t="b">
        <v>0</v>
      </c>
      <c r="T20" s="12" t="b">
        <v>0</v>
      </c>
      <c r="U20" s="12" t="b">
        <v>0</v>
      </c>
      <c r="V20" s="12" t="b">
        <v>0</v>
      </c>
      <c r="W20" s="12" t="b">
        <v>0</v>
      </c>
      <c r="X20" s="12" t="b">
        <v>0</v>
      </c>
      <c r="Y20" s="12" t="b">
        <v>0</v>
      </c>
      <c r="Z20" s="12" t="b">
        <v>0</v>
      </c>
      <c r="AA20" s="12" t="b">
        <v>0</v>
      </c>
      <c r="AB20" s="12" t="b">
        <v>0</v>
      </c>
      <c r="AC20" s="12" t="b">
        <v>0</v>
      </c>
      <c r="AD20" s="12" t="b">
        <v>0</v>
      </c>
      <c r="AE20" s="12" t="b">
        <v>0</v>
      </c>
      <c r="AF20" s="12" t="b">
        <v>0</v>
      </c>
      <c r="AG20" s="12" t="b">
        <v>0</v>
      </c>
      <c r="AH20" s="12" t="b">
        <v>0</v>
      </c>
      <c r="AI20" s="12" t="b">
        <v>0</v>
      </c>
      <c r="AJ20" s="12" t="b">
        <v>0</v>
      </c>
      <c r="AK20" s="12" t="b">
        <v>0</v>
      </c>
      <c r="AL20" s="12" t="b">
        <v>0</v>
      </c>
      <c r="AM20" s="12" t="b">
        <v>0</v>
      </c>
      <c r="AN20" s="12" t="b">
        <v>0</v>
      </c>
      <c r="AO20" s="12" t="b">
        <v>0</v>
      </c>
      <c r="AP20" s="12" t="b">
        <v>0</v>
      </c>
      <c r="AQ20" s="12" t="b">
        <v>0</v>
      </c>
      <c r="AR20" s="12" t="b">
        <v>0</v>
      </c>
      <c r="AS20" s="12" t="b">
        <v>0</v>
      </c>
      <c r="AT20" s="12" t="b">
        <v>0</v>
      </c>
      <c r="AU20" s="12" t="b">
        <v>0</v>
      </c>
      <c r="AV20" s="12" t="b">
        <v>0</v>
      </c>
      <c r="AW20" s="12" t="b">
        <v>0</v>
      </c>
      <c r="AX20" s="12" t="b">
        <v>0</v>
      </c>
      <c r="AY20" s="12" t="b">
        <v>0</v>
      </c>
      <c r="AZ20" s="12" t="b">
        <v>0</v>
      </c>
      <c r="BA20" s="12" t="b">
        <v>0</v>
      </c>
      <c r="BB20" s="12" t="b">
        <v>0</v>
      </c>
      <c r="BC20" s="12" t="b">
        <v>0</v>
      </c>
      <c r="BD20" s="12" t="b">
        <v>0</v>
      </c>
    </row>
    <row r="21" spans="2:56" x14ac:dyDescent="0.2">
      <c r="B21" s="11" t="s">
        <v>124</v>
      </c>
      <c r="C21" s="12" t="b">
        <v>0</v>
      </c>
      <c r="D21" s="12" t="b">
        <v>0</v>
      </c>
      <c r="E21" s="12" t="b">
        <v>0</v>
      </c>
      <c r="F21" s="12" t="b">
        <v>0</v>
      </c>
      <c r="G21" s="12" t="b">
        <v>0</v>
      </c>
      <c r="H21" s="12" t="b">
        <v>0</v>
      </c>
      <c r="I21" s="12" t="b">
        <v>0</v>
      </c>
      <c r="J21" s="12" t="b">
        <v>0</v>
      </c>
      <c r="K21" s="12" t="b">
        <v>0</v>
      </c>
      <c r="L21" s="12" t="b">
        <v>0</v>
      </c>
      <c r="M21" s="12" t="b">
        <v>0</v>
      </c>
      <c r="N21" s="12" t="b">
        <v>0</v>
      </c>
      <c r="O21" s="12" t="b">
        <v>0</v>
      </c>
      <c r="P21" s="12" t="b">
        <v>0</v>
      </c>
      <c r="Q21" s="12" t="b">
        <v>0</v>
      </c>
      <c r="R21" s="12" t="b">
        <v>0</v>
      </c>
      <c r="S21" s="12" t="b">
        <v>0</v>
      </c>
      <c r="T21" s="12" t="b">
        <v>0</v>
      </c>
      <c r="U21" s="12" t="b">
        <v>0</v>
      </c>
      <c r="V21" s="12" t="b">
        <v>0</v>
      </c>
      <c r="W21" s="12" t="b">
        <v>0</v>
      </c>
      <c r="X21" s="12" t="b">
        <v>0</v>
      </c>
      <c r="Y21" s="12" t="b">
        <v>0</v>
      </c>
      <c r="Z21" s="12" t="b">
        <v>0</v>
      </c>
      <c r="AA21" s="12" t="b">
        <v>0</v>
      </c>
      <c r="AB21" s="12" t="b">
        <v>0</v>
      </c>
      <c r="AC21" s="12" t="b">
        <v>0</v>
      </c>
      <c r="AD21" s="12" t="b">
        <v>0</v>
      </c>
      <c r="AE21" s="12" t="b">
        <v>0</v>
      </c>
      <c r="AF21" s="12" t="b">
        <v>0</v>
      </c>
      <c r="AG21" s="12" t="b">
        <v>0</v>
      </c>
      <c r="AH21" s="12" t="b">
        <v>0</v>
      </c>
      <c r="AI21" s="12" t="b">
        <v>0</v>
      </c>
      <c r="AJ21" s="12" t="b">
        <v>0</v>
      </c>
      <c r="AK21" s="12" t="b">
        <v>0</v>
      </c>
      <c r="AL21" s="12" t="b">
        <v>0</v>
      </c>
      <c r="AM21" s="12" t="b">
        <v>0</v>
      </c>
      <c r="AN21" s="12" t="b">
        <v>0</v>
      </c>
      <c r="AO21" s="12" t="b">
        <v>0</v>
      </c>
      <c r="AP21" s="12" t="b">
        <v>0</v>
      </c>
      <c r="AQ21" s="12" t="b">
        <v>0</v>
      </c>
      <c r="AR21" s="12" t="b">
        <v>0</v>
      </c>
      <c r="AS21" s="12" t="b">
        <v>0</v>
      </c>
      <c r="AT21" s="12" t="b">
        <v>0</v>
      </c>
      <c r="AU21" s="12" t="b">
        <v>0</v>
      </c>
      <c r="AV21" s="12" t="b">
        <v>0</v>
      </c>
      <c r="AW21" s="12" t="b">
        <v>0</v>
      </c>
      <c r="AX21" s="12" t="b">
        <v>0</v>
      </c>
      <c r="AY21" s="12" t="b">
        <v>0</v>
      </c>
      <c r="AZ21" s="12" t="b">
        <v>0</v>
      </c>
      <c r="BA21" s="12" t="b">
        <v>0</v>
      </c>
      <c r="BB21" s="12" t="b">
        <v>0</v>
      </c>
      <c r="BC21" s="12" t="b">
        <v>0</v>
      </c>
      <c r="BD21" s="12" t="b">
        <v>0</v>
      </c>
    </row>
    <row r="22" spans="2:56" x14ac:dyDescent="0.2">
      <c r="B22" s="11" t="s">
        <v>125</v>
      </c>
      <c r="C22" s="12" t="b">
        <v>0</v>
      </c>
      <c r="D22" s="12" t="b">
        <v>0</v>
      </c>
      <c r="E22" s="12" t="b">
        <v>0</v>
      </c>
      <c r="F22" s="12" t="b">
        <v>0</v>
      </c>
      <c r="G22" s="12" t="b">
        <v>0</v>
      </c>
      <c r="H22" s="12" t="b">
        <v>0</v>
      </c>
      <c r="I22" s="12" t="b">
        <v>0</v>
      </c>
      <c r="J22" s="12" t="b">
        <v>0</v>
      </c>
      <c r="K22" s="12" t="b">
        <v>0</v>
      </c>
      <c r="L22" s="12" t="b">
        <v>0</v>
      </c>
      <c r="M22" s="12" t="b">
        <v>0</v>
      </c>
      <c r="N22" s="12" t="b">
        <v>0</v>
      </c>
      <c r="O22" s="12" t="b">
        <v>0</v>
      </c>
      <c r="P22" s="12" t="b">
        <v>0</v>
      </c>
      <c r="Q22" s="12" t="b">
        <v>0</v>
      </c>
      <c r="R22" s="12" t="b">
        <v>0</v>
      </c>
      <c r="S22" s="12" t="b">
        <v>0</v>
      </c>
      <c r="T22" s="12" t="b">
        <v>0</v>
      </c>
      <c r="U22" s="12" t="b">
        <v>0</v>
      </c>
      <c r="V22" s="12" t="b">
        <v>0</v>
      </c>
      <c r="W22" s="12" t="b">
        <v>0</v>
      </c>
      <c r="X22" s="12" t="b">
        <v>0</v>
      </c>
      <c r="Y22" s="12" t="b">
        <v>0</v>
      </c>
      <c r="Z22" s="12" t="b">
        <v>0</v>
      </c>
      <c r="AA22" s="12" t="b">
        <v>0</v>
      </c>
      <c r="AB22" s="12" t="b">
        <v>0</v>
      </c>
      <c r="AC22" s="12" t="b">
        <v>0</v>
      </c>
      <c r="AD22" s="12" t="b">
        <v>0</v>
      </c>
      <c r="AE22" s="12" t="b">
        <v>0</v>
      </c>
      <c r="AF22" s="12" t="b">
        <v>0</v>
      </c>
      <c r="AG22" s="12" t="b">
        <v>0</v>
      </c>
      <c r="AH22" s="12" t="b">
        <v>0</v>
      </c>
      <c r="AI22" s="12" t="b">
        <v>0</v>
      </c>
      <c r="AJ22" s="12" t="b">
        <v>0</v>
      </c>
      <c r="AK22" s="12" t="b">
        <v>0</v>
      </c>
      <c r="AL22" s="12" t="b">
        <v>0</v>
      </c>
      <c r="AM22" s="12" t="b">
        <v>0</v>
      </c>
      <c r="AN22" s="12" t="b">
        <v>0</v>
      </c>
      <c r="AO22" s="12" t="b">
        <v>0</v>
      </c>
      <c r="AP22" s="12" t="b">
        <v>0</v>
      </c>
      <c r="AQ22" s="12" t="b">
        <v>0</v>
      </c>
      <c r="AR22" s="12" t="b">
        <v>0</v>
      </c>
      <c r="AS22" s="12" t="b">
        <v>0</v>
      </c>
      <c r="AT22" s="12" t="b">
        <v>0</v>
      </c>
      <c r="AU22" s="12" t="b">
        <v>0</v>
      </c>
      <c r="AV22" s="12" t="b">
        <v>0</v>
      </c>
      <c r="AW22" s="12" t="b">
        <v>0</v>
      </c>
      <c r="AX22" s="12" t="b">
        <v>0</v>
      </c>
      <c r="AY22" s="12" t="b">
        <v>0</v>
      </c>
      <c r="AZ22" s="12" t="b">
        <v>0</v>
      </c>
      <c r="BA22" s="12" t="b">
        <v>0</v>
      </c>
      <c r="BB22" s="12" t="b">
        <v>0</v>
      </c>
      <c r="BC22" s="12" t="b">
        <v>0</v>
      </c>
      <c r="BD22" s="12" t="b">
        <v>0</v>
      </c>
    </row>
    <row r="23" spans="2:56" x14ac:dyDescent="0.2">
      <c r="B23" s="11" t="s">
        <v>126</v>
      </c>
      <c r="C23" s="12" t="b">
        <v>0</v>
      </c>
      <c r="D23" s="12" t="b">
        <v>0</v>
      </c>
      <c r="E23" s="12" t="b">
        <v>0</v>
      </c>
      <c r="F23" s="12" t="b">
        <v>0</v>
      </c>
      <c r="G23" s="12" t="b">
        <v>0</v>
      </c>
      <c r="H23" s="12" t="b">
        <v>0</v>
      </c>
      <c r="I23" s="12" t="b">
        <v>0</v>
      </c>
      <c r="J23" s="12" t="b">
        <v>0</v>
      </c>
      <c r="K23" s="12" t="b">
        <v>0</v>
      </c>
      <c r="L23" s="12" t="b">
        <v>0</v>
      </c>
      <c r="M23" s="12" t="b">
        <v>0</v>
      </c>
      <c r="N23" s="12" t="b">
        <v>0</v>
      </c>
      <c r="O23" s="12" t="b">
        <v>0</v>
      </c>
      <c r="P23" s="12" t="b">
        <v>0</v>
      </c>
      <c r="Q23" s="12" t="b">
        <v>0</v>
      </c>
      <c r="R23" s="12" t="b">
        <v>0</v>
      </c>
      <c r="S23" s="12" t="b">
        <v>0</v>
      </c>
      <c r="T23" s="12" t="b">
        <v>0</v>
      </c>
      <c r="U23" s="12" t="b">
        <v>0</v>
      </c>
      <c r="V23" s="12" t="b">
        <v>0</v>
      </c>
      <c r="W23" s="12" t="b">
        <v>0</v>
      </c>
      <c r="X23" s="12" t="b">
        <v>0</v>
      </c>
      <c r="Y23" s="12" t="b">
        <v>0</v>
      </c>
      <c r="Z23" s="12" t="b">
        <v>0</v>
      </c>
      <c r="AA23" s="12" t="b">
        <v>0</v>
      </c>
      <c r="AB23" s="12" t="b">
        <v>0</v>
      </c>
      <c r="AC23" s="12" t="b">
        <v>0</v>
      </c>
      <c r="AD23" s="12" t="b">
        <v>0</v>
      </c>
      <c r="AE23" s="12" t="b">
        <v>0</v>
      </c>
      <c r="AF23" s="12" t="b">
        <v>0</v>
      </c>
      <c r="AG23" s="12" t="b">
        <v>0</v>
      </c>
      <c r="AH23" s="12" t="b">
        <v>0</v>
      </c>
      <c r="AI23" s="12" t="b">
        <v>0</v>
      </c>
      <c r="AJ23" s="12" t="b">
        <v>0</v>
      </c>
      <c r="AK23" s="12" t="b">
        <v>0</v>
      </c>
      <c r="AL23" s="12" t="b">
        <v>0</v>
      </c>
      <c r="AM23" s="12" t="b">
        <v>0</v>
      </c>
      <c r="AN23" s="12" t="b">
        <v>0</v>
      </c>
      <c r="AO23" s="12" t="b">
        <v>0</v>
      </c>
      <c r="AP23" s="12" t="b">
        <v>0</v>
      </c>
      <c r="AQ23" s="12" t="b">
        <v>0</v>
      </c>
      <c r="AR23" s="12" t="b">
        <v>0</v>
      </c>
      <c r="AS23" s="12" t="b">
        <v>0</v>
      </c>
      <c r="AT23" s="12" t="b">
        <v>0</v>
      </c>
      <c r="AU23" s="12" t="b">
        <v>0</v>
      </c>
      <c r="AV23" s="12" t="b">
        <v>0</v>
      </c>
      <c r="AW23" s="12" t="b">
        <v>0</v>
      </c>
      <c r="AX23" s="12" t="b">
        <v>0</v>
      </c>
      <c r="AY23" s="12" t="b">
        <v>0</v>
      </c>
      <c r="AZ23" s="12" t="b">
        <v>0</v>
      </c>
      <c r="BA23" s="12" t="b">
        <v>0</v>
      </c>
      <c r="BB23" s="12" t="b">
        <v>0</v>
      </c>
      <c r="BC23" s="12" t="b">
        <v>0</v>
      </c>
      <c r="BD23" s="12" t="b">
        <v>0</v>
      </c>
    </row>
    <row r="24" spans="2:56" x14ac:dyDescent="0.2">
      <c r="B24" s="11" t="s">
        <v>127</v>
      </c>
      <c r="C24" s="12" t="b">
        <v>0</v>
      </c>
      <c r="D24" s="12" t="b">
        <v>0</v>
      </c>
      <c r="E24" s="12" t="b">
        <v>0</v>
      </c>
      <c r="F24" s="12" t="b">
        <v>0</v>
      </c>
      <c r="G24" s="12" t="b">
        <v>0</v>
      </c>
      <c r="H24" s="12" t="b">
        <v>0</v>
      </c>
      <c r="I24" s="12" t="b">
        <v>0</v>
      </c>
      <c r="J24" s="12" t="b">
        <v>0</v>
      </c>
      <c r="K24" s="12" t="b">
        <v>0</v>
      </c>
      <c r="L24" s="12" t="b">
        <v>0</v>
      </c>
      <c r="M24" s="12" t="b">
        <v>0</v>
      </c>
      <c r="N24" s="12" t="b">
        <v>0</v>
      </c>
      <c r="O24" s="12" t="b">
        <v>0</v>
      </c>
      <c r="P24" s="12" t="b">
        <v>0</v>
      </c>
      <c r="Q24" s="12" t="b">
        <v>0</v>
      </c>
      <c r="R24" s="12" t="b">
        <v>0</v>
      </c>
      <c r="S24" s="12" t="b">
        <v>0</v>
      </c>
      <c r="T24" s="12" t="b">
        <v>0</v>
      </c>
      <c r="U24" s="12" t="b">
        <v>0</v>
      </c>
      <c r="V24" s="12" t="b">
        <v>0</v>
      </c>
      <c r="W24" s="12" t="b">
        <v>0</v>
      </c>
      <c r="X24" s="12" t="b">
        <v>0</v>
      </c>
      <c r="Y24" s="12" t="b">
        <v>0</v>
      </c>
      <c r="Z24" s="12" t="b">
        <v>0</v>
      </c>
      <c r="AA24" s="12" t="b">
        <v>0</v>
      </c>
      <c r="AB24" s="12" t="b">
        <v>0</v>
      </c>
      <c r="AC24" s="12" t="b">
        <v>0</v>
      </c>
      <c r="AD24" s="12" t="b">
        <v>0</v>
      </c>
      <c r="AE24" s="12" t="b">
        <v>0</v>
      </c>
      <c r="AF24" s="12" t="b">
        <v>0</v>
      </c>
      <c r="AG24" s="12" t="b">
        <v>0</v>
      </c>
      <c r="AH24" s="12" t="b">
        <v>0</v>
      </c>
      <c r="AI24" s="12" t="b">
        <v>0</v>
      </c>
      <c r="AJ24" s="12" t="b">
        <v>0</v>
      </c>
      <c r="AK24" s="12" t="b">
        <v>0</v>
      </c>
      <c r="AL24" s="12" t="b">
        <v>0</v>
      </c>
      <c r="AM24" s="12" t="b">
        <v>0</v>
      </c>
      <c r="AN24" s="12" t="b">
        <v>0</v>
      </c>
      <c r="AO24" s="12" t="b">
        <v>0</v>
      </c>
      <c r="AP24" s="12" t="b">
        <v>0</v>
      </c>
      <c r="AQ24" s="12" t="b">
        <v>0</v>
      </c>
      <c r="AR24" s="12" t="b">
        <v>0</v>
      </c>
      <c r="AS24" s="12" t="b">
        <v>0</v>
      </c>
      <c r="AT24" s="12" t="b">
        <v>0</v>
      </c>
      <c r="AU24" s="12" t="b">
        <v>0</v>
      </c>
      <c r="AV24" s="12" t="b">
        <v>0</v>
      </c>
      <c r="AW24" s="12" t="b">
        <v>0</v>
      </c>
      <c r="AX24" s="12" t="b">
        <v>0</v>
      </c>
      <c r="AY24" s="12" t="b">
        <v>0</v>
      </c>
      <c r="AZ24" s="12" t="b">
        <v>0</v>
      </c>
      <c r="BA24" s="12" t="b">
        <v>0</v>
      </c>
      <c r="BB24" s="12" t="b">
        <v>0</v>
      </c>
      <c r="BC24" s="12" t="b">
        <v>0</v>
      </c>
      <c r="BD24" s="12" t="b">
        <v>0</v>
      </c>
    </row>
    <row r="25" spans="2:56" x14ac:dyDescent="0.2">
      <c r="B25" s="11" t="s">
        <v>128</v>
      </c>
      <c r="C25" s="12" t="b">
        <v>0</v>
      </c>
      <c r="D25" s="12" t="b">
        <v>0</v>
      </c>
      <c r="E25" s="12" t="b">
        <v>0</v>
      </c>
      <c r="F25" s="12" t="b">
        <v>0</v>
      </c>
      <c r="G25" s="12" t="b">
        <v>0</v>
      </c>
      <c r="H25" s="12" t="b">
        <v>0</v>
      </c>
      <c r="I25" s="12" t="b">
        <v>0</v>
      </c>
      <c r="J25" s="12" t="b">
        <v>0</v>
      </c>
      <c r="K25" s="12" t="b">
        <v>0</v>
      </c>
      <c r="L25" s="12" t="b">
        <v>0</v>
      </c>
      <c r="M25" s="12" t="b">
        <v>0</v>
      </c>
      <c r="N25" s="12" t="b">
        <v>0</v>
      </c>
      <c r="O25" s="12" t="b">
        <v>0</v>
      </c>
      <c r="P25" s="12" t="b">
        <v>0</v>
      </c>
      <c r="Q25" s="12" t="b">
        <v>0</v>
      </c>
      <c r="R25" s="12" t="b">
        <v>0</v>
      </c>
      <c r="S25" s="12" t="b">
        <v>0</v>
      </c>
      <c r="T25" s="12" t="b">
        <v>0</v>
      </c>
      <c r="U25" s="12" t="b">
        <v>0</v>
      </c>
      <c r="V25" s="12" t="b">
        <v>0</v>
      </c>
      <c r="W25" s="12" t="b">
        <v>0</v>
      </c>
      <c r="X25" s="12" t="b">
        <v>0</v>
      </c>
      <c r="Y25" s="12" t="b">
        <v>0</v>
      </c>
      <c r="Z25" s="12" t="b">
        <v>0</v>
      </c>
      <c r="AA25" s="12" t="b">
        <v>0</v>
      </c>
      <c r="AB25" s="12" t="b">
        <v>0</v>
      </c>
      <c r="AC25" s="12" t="b">
        <v>0</v>
      </c>
      <c r="AD25" s="12" t="b">
        <v>0</v>
      </c>
      <c r="AE25" s="12" t="b">
        <v>0</v>
      </c>
      <c r="AF25" s="12" t="b">
        <v>0</v>
      </c>
      <c r="AG25" s="12" t="b">
        <v>0</v>
      </c>
      <c r="AH25" s="12" t="b">
        <v>0</v>
      </c>
      <c r="AI25" s="12" t="b">
        <v>0</v>
      </c>
      <c r="AJ25" s="12" t="b">
        <v>0</v>
      </c>
      <c r="AK25" s="12" t="b">
        <v>0</v>
      </c>
      <c r="AL25" s="12" t="b">
        <v>0</v>
      </c>
      <c r="AM25" s="12" t="b">
        <v>0</v>
      </c>
      <c r="AN25" s="12" t="b">
        <v>0</v>
      </c>
      <c r="AO25" s="12" t="b">
        <v>0</v>
      </c>
      <c r="AP25" s="12" t="b">
        <v>0</v>
      </c>
      <c r="AQ25" s="12" t="b">
        <v>0</v>
      </c>
      <c r="AR25" s="12" t="b">
        <v>0</v>
      </c>
      <c r="AS25" s="12" t="b">
        <v>0</v>
      </c>
      <c r="AT25" s="12" t="b">
        <v>0</v>
      </c>
      <c r="AU25" s="12" t="b">
        <v>0</v>
      </c>
      <c r="AV25" s="12" t="b">
        <v>0</v>
      </c>
      <c r="AW25" s="12" t="b">
        <v>0</v>
      </c>
      <c r="AX25" s="12" t="b">
        <v>0</v>
      </c>
      <c r="AY25" s="12" t="b">
        <v>0</v>
      </c>
      <c r="AZ25" s="12" t="b">
        <v>0</v>
      </c>
      <c r="BA25" s="12" t="b">
        <v>0</v>
      </c>
      <c r="BB25" s="12" t="b">
        <v>0</v>
      </c>
      <c r="BC25" s="12" t="b">
        <v>0</v>
      </c>
      <c r="BD25" s="12" t="b">
        <v>0</v>
      </c>
    </row>
    <row r="26" spans="2:56" x14ac:dyDescent="0.2">
      <c r="B26" s="11" t="s">
        <v>129</v>
      </c>
      <c r="C26" s="12" t="b">
        <v>0</v>
      </c>
      <c r="D26" s="12" t="b">
        <v>0</v>
      </c>
      <c r="E26" s="12" t="b">
        <v>0</v>
      </c>
      <c r="F26" s="12" t="b">
        <v>0</v>
      </c>
      <c r="G26" s="12" t="b">
        <v>0</v>
      </c>
      <c r="H26" s="12" t="b">
        <v>0</v>
      </c>
      <c r="I26" s="12" t="b">
        <v>0</v>
      </c>
      <c r="J26" s="12" t="b">
        <v>0</v>
      </c>
      <c r="K26" s="12" t="b">
        <v>0</v>
      </c>
      <c r="L26" s="12" t="b">
        <v>0</v>
      </c>
      <c r="M26" s="12" t="b">
        <v>0</v>
      </c>
      <c r="N26" s="12" t="b">
        <v>0</v>
      </c>
      <c r="O26" s="12" t="b">
        <v>0</v>
      </c>
      <c r="P26" s="12" t="b">
        <v>0</v>
      </c>
      <c r="Q26" s="12" t="b">
        <v>0</v>
      </c>
      <c r="R26" s="12" t="b">
        <v>0</v>
      </c>
      <c r="S26" s="12" t="b">
        <v>0</v>
      </c>
      <c r="T26" s="12" t="b">
        <v>0</v>
      </c>
      <c r="U26" s="12" t="b">
        <v>0</v>
      </c>
      <c r="V26" s="12" t="b">
        <v>0</v>
      </c>
      <c r="W26" s="12" t="b">
        <v>0</v>
      </c>
      <c r="X26" s="12" t="b">
        <v>0</v>
      </c>
      <c r="Y26" s="12" t="b">
        <v>0</v>
      </c>
      <c r="Z26" s="12" t="b">
        <v>0</v>
      </c>
      <c r="AA26" s="12" t="b">
        <v>0</v>
      </c>
      <c r="AB26" s="12" t="b">
        <v>0</v>
      </c>
      <c r="AC26" s="12" t="b">
        <v>0</v>
      </c>
      <c r="AD26" s="12" t="b">
        <v>0</v>
      </c>
      <c r="AE26" s="12" t="b">
        <v>0</v>
      </c>
      <c r="AF26" s="12" t="b">
        <v>0</v>
      </c>
      <c r="AG26" s="12" t="b">
        <v>0</v>
      </c>
      <c r="AH26" s="12" t="b">
        <v>0</v>
      </c>
      <c r="AI26" s="12" t="b">
        <v>0</v>
      </c>
      <c r="AJ26" s="12" t="b">
        <v>0</v>
      </c>
      <c r="AK26" s="12" t="b">
        <v>0</v>
      </c>
      <c r="AL26" s="12" t="b">
        <v>0</v>
      </c>
      <c r="AM26" s="12" t="b">
        <v>0</v>
      </c>
      <c r="AN26" s="12" t="b">
        <v>0</v>
      </c>
      <c r="AO26" s="12" t="b">
        <v>0</v>
      </c>
      <c r="AP26" s="12" t="b">
        <v>0</v>
      </c>
      <c r="AQ26" s="12" t="b">
        <v>0</v>
      </c>
      <c r="AR26" s="12" t="b">
        <v>0</v>
      </c>
      <c r="AS26" s="12" t="b">
        <v>0</v>
      </c>
      <c r="AT26" s="12" t="b">
        <v>0</v>
      </c>
      <c r="AU26" s="12" t="b">
        <v>0</v>
      </c>
      <c r="AV26" s="12" t="b">
        <v>0</v>
      </c>
      <c r="AW26" s="12" t="b">
        <v>0</v>
      </c>
      <c r="AX26" s="12" t="b">
        <v>0</v>
      </c>
      <c r="AY26" s="12" t="b">
        <v>0</v>
      </c>
      <c r="AZ26" s="12" t="b">
        <v>0</v>
      </c>
      <c r="BA26" s="12" t="b">
        <v>0</v>
      </c>
      <c r="BB26" s="12" t="b">
        <v>0</v>
      </c>
      <c r="BC26" s="12" t="b">
        <v>0</v>
      </c>
      <c r="BD26" s="12" t="b">
        <v>0</v>
      </c>
    </row>
  </sheetData>
  <dataValidations count="2">
    <dataValidation type="list" allowBlank="1" showInputMessage="1" showErrorMessage="1" sqref="C5:BD5" xr:uid="{BE5FD7F0-726F-478C-A31E-CB23A619317E}">
      <formula1>"Normal, Hearing Loss"</formula1>
    </dataValidation>
    <dataValidation type="list" allowBlank="1" showInputMessage="1" showErrorMessage="1" sqref="C6:BD9" xr:uid="{1AD27B7E-C8D7-4D09-9097-8862E890C64A}">
      <formula1>"Yes, 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FD80-5EAF-6C48-A2A6-FBA737AB439F}">
  <dimension ref="B1:BC26"/>
  <sheetViews>
    <sheetView workbookViewId="0">
      <selection activeCell="H27" sqref="H27"/>
    </sheetView>
  </sheetViews>
  <sheetFormatPr baseColWidth="10" defaultColWidth="8.83203125" defaultRowHeight="15.75" customHeight="1" x14ac:dyDescent="0.2"/>
  <cols>
    <col min="2" max="2" width="20" customWidth="1"/>
    <col min="3" max="3" width="11" customWidth="1"/>
    <col min="4" max="5" width="7.5" customWidth="1"/>
    <col min="6" max="6" width="9.83203125" customWidth="1"/>
    <col min="7" max="7" width="7" customWidth="1"/>
    <col min="8" max="8" width="7.5" customWidth="1"/>
    <col min="9" max="9" width="10.1640625" customWidth="1"/>
  </cols>
  <sheetData>
    <row r="1" spans="2:55" ht="16" x14ac:dyDescent="0.2">
      <c r="B1" s="20" t="s">
        <v>55</v>
      </c>
      <c r="C1" s="4" t="s">
        <v>130</v>
      </c>
      <c r="D1" s="320" t="s">
        <v>131</v>
      </c>
      <c r="E1" s="4" t="s">
        <v>132</v>
      </c>
      <c r="F1" s="4" t="s">
        <v>133</v>
      </c>
      <c r="G1" s="4" t="s">
        <v>134</v>
      </c>
      <c r="H1" s="4" t="s">
        <v>135</v>
      </c>
      <c r="I1" s="4" t="s">
        <v>136</v>
      </c>
      <c r="J1" s="4" t="s">
        <v>137</v>
      </c>
      <c r="K1" s="4" t="s">
        <v>138</v>
      </c>
      <c r="L1" s="4" t="s">
        <v>139</v>
      </c>
      <c r="M1" s="4" t="s">
        <v>140</v>
      </c>
      <c r="N1" s="4" t="s">
        <v>141</v>
      </c>
      <c r="O1" s="4" t="s">
        <v>142</v>
      </c>
      <c r="P1" s="4" t="s">
        <v>143</v>
      </c>
      <c r="Q1" s="4" t="s">
        <v>144</v>
      </c>
      <c r="R1" s="4" t="s">
        <v>145</v>
      </c>
      <c r="S1" s="4" t="s">
        <v>146</v>
      </c>
      <c r="T1" s="4" t="s">
        <v>147</v>
      </c>
      <c r="U1" s="320"/>
      <c r="V1" s="320"/>
      <c r="W1" s="320"/>
      <c r="X1" s="320"/>
      <c r="Y1" s="320"/>
      <c r="Z1" s="320"/>
      <c r="AA1" s="320"/>
    </row>
    <row r="2" spans="2:55" ht="16" x14ac:dyDescent="0.2">
      <c r="B2" s="20" t="s">
        <v>82</v>
      </c>
      <c r="C2" s="4" t="s">
        <v>130</v>
      </c>
      <c r="D2" s="4" t="s">
        <v>148</v>
      </c>
      <c r="E2" s="4" t="s">
        <v>149</v>
      </c>
      <c r="F2" s="4" t="s">
        <v>150</v>
      </c>
      <c r="G2" s="4" t="s">
        <v>151</v>
      </c>
      <c r="H2" s="4" t="s">
        <v>152</v>
      </c>
      <c r="I2" s="4" t="s">
        <v>136</v>
      </c>
      <c r="J2" s="4" t="s">
        <v>153</v>
      </c>
      <c r="K2" s="4" t="s">
        <v>154</v>
      </c>
      <c r="L2" s="4" t="s">
        <v>155</v>
      </c>
      <c r="M2" s="4" t="s">
        <v>156</v>
      </c>
      <c r="N2" s="4" t="s">
        <v>157</v>
      </c>
      <c r="O2" s="4" t="s">
        <v>158</v>
      </c>
      <c r="P2" s="4" t="s">
        <v>159</v>
      </c>
      <c r="Q2" s="4" t="s">
        <v>160</v>
      </c>
      <c r="R2" s="4" t="s">
        <v>161</v>
      </c>
      <c r="S2" s="4" t="s">
        <v>162</v>
      </c>
      <c r="T2" s="4" t="s">
        <v>163</v>
      </c>
      <c r="U2" s="4"/>
      <c r="V2" s="4"/>
      <c r="W2" s="4"/>
      <c r="X2" s="4"/>
      <c r="Y2" s="4"/>
      <c r="Z2" s="4"/>
      <c r="AA2" s="4"/>
    </row>
    <row r="3" spans="2:55" ht="16" x14ac:dyDescent="0.2">
      <c r="B3" s="20" t="s">
        <v>108</v>
      </c>
      <c r="C3" s="4">
        <v>617834</v>
      </c>
      <c r="D3" s="320">
        <v>991031</v>
      </c>
      <c r="E3" s="320">
        <v>129059</v>
      </c>
      <c r="F3" s="320">
        <v>99810</v>
      </c>
      <c r="G3" s="4">
        <v>184632</v>
      </c>
      <c r="H3" s="4">
        <v>488218</v>
      </c>
      <c r="I3" s="4">
        <v>928855</v>
      </c>
      <c r="J3" s="4">
        <v>375578</v>
      </c>
      <c r="K3" s="4">
        <v>90664</v>
      </c>
      <c r="L3" s="4">
        <v>401748</v>
      </c>
      <c r="M3" s="4">
        <v>173309</v>
      </c>
      <c r="N3" s="4">
        <v>209273</v>
      </c>
      <c r="O3" s="4">
        <v>237361</v>
      </c>
      <c r="P3" s="4">
        <v>540007</v>
      </c>
      <c r="Q3" s="4">
        <v>64839</v>
      </c>
      <c r="R3" s="4">
        <v>392487</v>
      </c>
      <c r="S3" s="4">
        <v>750492</v>
      </c>
      <c r="T3" s="4">
        <v>307951</v>
      </c>
      <c r="U3" s="320"/>
      <c r="V3" s="320"/>
      <c r="W3" s="320"/>
      <c r="X3" s="320"/>
      <c r="Y3" s="320"/>
      <c r="Z3" s="320"/>
      <c r="AA3" s="320"/>
    </row>
    <row r="4" spans="2:55" ht="16" x14ac:dyDescent="0.2">
      <c r="B4" s="9" t="s">
        <v>109</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row>
    <row r="5" spans="2:55" ht="16" x14ac:dyDescent="0.2">
      <c r="B5" s="11" t="s">
        <v>110</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row>
    <row r="6" spans="2:55" ht="34" x14ac:dyDescent="0.2">
      <c r="B6" s="13" t="s">
        <v>112</v>
      </c>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row>
    <row r="7" spans="2:55" ht="16" x14ac:dyDescent="0.2">
      <c r="B7" s="11" t="s">
        <v>10</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row>
    <row r="8" spans="2:55" ht="16" x14ac:dyDescent="0.2">
      <c r="B8" s="11" t="s">
        <v>11</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row>
    <row r="9" spans="2:55" ht="16" x14ac:dyDescent="0.2">
      <c r="B9" s="11" t="s">
        <v>12</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row>
    <row r="10" spans="2:55" ht="16" x14ac:dyDescent="0.2">
      <c r="B10" s="9" t="s">
        <v>113</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row>
    <row r="11" spans="2:55" ht="16" x14ac:dyDescent="0.2">
      <c r="B11" s="11" t="s">
        <v>114</v>
      </c>
      <c r="C11" s="12" t="b">
        <v>0</v>
      </c>
      <c r="D11" s="12" t="b">
        <v>0</v>
      </c>
      <c r="E11" s="12" t="b">
        <v>0</v>
      </c>
      <c r="F11" s="12" t="b">
        <v>0</v>
      </c>
      <c r="G11" s="12" t="b">
        <v>0</v>
      </c>
      <c r="H11" s="12" t="b">
        <v>0</v>
      </c>
      <c r="I11" s="12" t="b">
        <v>0</v>
      </c>
      <c r="J11" s="12" t="b">
        <v>0</v>
      </c>
      <c r="K11" s="12" t="b">
        <v>0</v>
      </c>
      <c r="L11" s="12" t="b">
        <v>0</v>
      </c>
      <c r="M11" s="12" t="b">
        <v>0</v>
      </c>
      <c r="N11" s="12" t="b">
        <v>0</v>
      </c>
      <c r="O11" s="12" t="b">
        <v>0</v>
      </c>
      <c r="P11" s="12" t="b">
        <v>0</v>
      </c>
      <c r="Q11" s="12" t="b">
        <v>0</v>
      </c>
      <c r="R11" s="12" t="b">
        <v>0</v>
      </c>
      <c r="S11" s="12" t="b">
        <v>0</v>
      </c>
      <c r="T11" s="12" t="b">
        <v>0</v>
      </c>
      <c r="U11" s="12" t="b">
        <v>0</v>
      </c>
      <c r="V11" s="12" t="b">
        <v>0</v>
      </c>
      <c r="W11" s="12" t="b">
        <v>0</v>
      </c>
      <c r="X11" s="12" t="b">
        <v>0</v>
      </c>
      <c r="Y11" s="12" t="b">
        <v>0</v>
      </c>
      <c r="Z11" s="12" t="b">
        <v>0</v>
      </c>
      <c r="AA11" s="12" t="b">
        <v>0</v>
      </c>
      <c r="AB11" s="12" t="b">
        <v>0</v>
      </c>
      <c r="AC11" s="12" t="b">
        <v>0</v>
      </c>
      <c r="AD11" s="12" t="b">
        <v>0</v>
      </c>
      <c r="AE11" s="12" t="b">
        <v>0</v>
      </c>
      <c r="AF11" s="12" t="b">
        <v>0</v>
      </c>
      <c r="AG11" s="12" t="b">
        <v>0</v>
      </c>
      <c r="AH11" s="12" t="b">
        <v>0</v>
      </c>
      <c r="AI11" s="12" t="b">
        <v>0</v>
      </c>
      <c r="AJ11" s="12" t="b">
        <v>0</v>
      </c>
      <c r="AK11" s="12" t="b">
        <v>0</v>
      </c>
      <c r="AL11" s="12" t="b">
        <v>0</v>
      </c>
      <c r="AM11" s="12" t="b">
        <v>0</v>
      </c>
      <c r="AN11" s="12" t="b">
        <v>0</v>
      </c>
      <c r="AO11" s="12" t="b">
        <v>0</v>
      </c>
      <c r="AP11" s="12" t="b">
        <v>0</v>
      </c>
      <c r="AQ11" s="12" t="b">
        <v>0</v>
      </c>
      <c r="AR11" s="12" t="b">
        <v>0</v>
      </c>
      <c r="AS11" s="12" t="b">
        <v>0</v>
      </c>
      <c r="AT11" s="12" t="b">
        <v>0</v>
      </c>
      <c r="AU11" s="12" t="b">
        <v>0</v>
      </c>
      <c r="AV11" s="12" t="b">
        <v>0</v>
      </c>
      <c r="AW11" s="12" t="b">
        <v>0</v>
      </c>
      <c r="AX11" s="12" t="b">
        <v>0</v>
      </c>
      <c r="AY11" s="12" t="b">
        <v>0</v>
      </c>
      <c r="AZ11" s="12" t="b">
        <v>0</v>
      </c>
      <c r="BA11" s="12" t="b">
        <v>0</v>
      </c>
      <c r="BB11" s="12" t="b">
        <v>0</v>
      </c>
      <c r="BC11" s="12" t="b">
        <v>0</v>
      </c>
    </row>
    <row r="12" spans="2:55" ht="16" x14ac:dyDescent="0.2">
      <c r="B12" s="11" t="s">
        <v>115</v>
      </c>
      <c r="C12" s="12" t="b">
        <v>0</v>
      </c>
      <c r="D12" s="12" t="b">
        <v>0</v>
      </c>
      <c r="E12" s="12" t="b">
        <v>0</v>
      </c>
      <c r="F12" s="12" t="b">
        <v>0</v>
      </c>
      <c r="G12" s="12" t="b">
        <v>0</v>
      </c>
      <c r="H12" s="12" t="b">
        <v>0</v>
      </c>
      <c r="I12" s="12" t="b">
        <v>0</v>
      </c>
      <c r="J12" s="12" t="b">
        <v>0</v>
      </c>
      <c r="K12" s="12" t="b">
        <v>0</v>
      </c>
      <c r="L12" s="12" t="b">
        <v>0</v>
      </c>
      <c r="M12" s="12" t="b">
        <v>0</v>
      </c>
      <c r="N12" s="12" t="b">
        <v>0</v>
      </c>
      <c r="O12" s="12" t="b">
        <v>0</v>
      </c>
      <c r="P12" s="12" t="b">
        <v>0</v>
      </c>
      <c r="Q12" s="12" t="b">
        <v>0</v>
      </c>
      <c r="R12" s="12" t="b">
        <v>0</v>
      </c>
      <c r="S12" s="12" t="b">
        <v>0</v>
      </c>
      <c r="T12" s="12" t="b">
        <v>0</v>
      </c>
      <c r="U12" s="12" t="b">
        <v>0</v>
      </c>
      <c r="V12" s="12" t="b">
        <v>0</v>
      </c>
      <c r="W12" s="12" t="b">
        <v>0</v>
      </c>
      <c r="X12" s="12" t="b">
        <v>0</v>
      </c>
      <c r="Y12" s="12" t="b">
        <v>0</v>
      </c>
      <c r="Z12" s="12" t="b">
        <v>0</v>
      </c>
      <c r="AA12" s="12" t="b">
        <v>0</v>
      </c>
      <c r="AB12" s="12" t="b">
        <v>0</v>
      </c>
      <c r="AC12" s="12" t="b">
        <v>0</v>
      </c>
      <c r="AD12" s="12" t="b">
        <v>0</v>
      </c>
      <c r="AE12" s="12" t="b">
        <v>0</v>
      </c>
      <c r="AF12" s="12" t="b">
        <v>0</v>
      </c>
      <c r="AG12" s="12" t="b">
        <v>0</v>
      </c>
      <c r="AH12" s="12" t="b">
        <v>0</v>
      </c>
      <c r="AI12" s="12" t="b">
        <v>0</v>
      </c>
      <c r="AJ12" s="12" t="b">
        <v>0</v>
      </c>
      <c r="AK12" s="12" t="b">
        <v>0</v>
      </c>
      <c r="AL12" s="12" t="b">
        <v>0</v>
      </c>
      <c r="AM12" s="12" t="b">
        <v>0</v>
      </c>
      <c r="AN12" s="12" t="b">
        <v>0</v>
      </c>
      <c r="AO12" s="12" t="b">
        <v>0</v>
      </c>
      <c r="AP12" s="12" t="b">
        <v>0</v>
      </c>
      <c r="AQ12" s="12" t="b">
        <v>0</v>
      </c>
      <c r="AR12" s="12" t="b">
        <v>0</v>
      </c>
      <c r="AS12" s="12" t="b">
        <v>0</v>
      </c>
      <c r="AT12" s="12" t="b">
        <v>0</v>
      </c>
      <c r="AU12" s="12" t="b">
        <v>0</v>
      </c>
      <c r="AV12" s="12" t="b">
        <v>0</v>
      </c>
      <c r="AW12" s="12" t="b">
        <v>0</v>
      </c>
      <c r="AX12" s="12" t="b">
        <v>0</v>
      </c>
      <c r="AY12" s="12" t="b">
        <v>0</v>
      </c>
      <c r="AZ12" s="12" t="b">
        <v>0</v>
      </c>
      <c r="BA12" s="12" t="b">
        <v>0</v>
      </c>
      <c r="BB12" s="12" t="b">
        <v>0</v>
      </c>
      <c r="BC12" s="12" t="b">
        <v>0</v>
      </c>
    </row>
    <row r="13" spans="2:55" ht="16" x14ac:dyDescent="0.2">
      <c r="B13" s="11" t="s">
        <v>116</v>
      </c>
      <c r="C13" s="12" t="b">
        <v>0</v>
      </c>
      <c r="D13" s="12" t="b">
        <v>0</v>
      </c>
      <c r="E13" s="12" t="b">
        <v>0</v>
      </c>
      <c r="F13" s="12" t="b">
        <v>0</v>
      </c>
      <c r="G13" s="12" t="b">
        <v>0</v>
      </c>
      <c r="H13" s="12" t="b">
        <v>0</v>
      </c>
      <c r="I13" s="12" t="b">
        <v>0</v>
      </c>
      <c r="J13" s="12" t="b">
        <v>0</v>
      </c>
      <c r="K13" s="12" t="b">
        <v>0</v>
      </c>
      <c r="L13" s="12" t="b">
        <v>0</v>
      </c>
      <c r="M13" s="12" t="b">
        <v>0</v>
      </c>
      <c r="N13" s="12" t="b">
        <v>0</v>
      </c>
      <c r="O13" s="12" t="b">
        <v>0</v>
      </c>
      <c r="P13" s="12" t="b">
        <v>0</v>
      </c>
      <c r="Q13" s="12" t="b">
        <v>0</v>
      </c>
      <c r="R13" s="12" t="b">
        <v>0</v>
      </c>
      <c r="S13" s="12" t="b">
        <v>0</v>
      </c>
      <c r="T13" s="12" t="b">
        <v>0</v>
      </c>
      <c r="U13" s="12" t="b">
        <v>0</v>
      </c>
      <c r="V13" s="12" t="b">
        <v>0</v>
      </c>
      <c r="W13" s="12" t="b">
        <v>0</v>
      </c>
      <c r="X13" s="12" t="b">
        <v>0</v>
      </c>
      <c r="Y13" s="12" t="b">
        <v>0</v>
      </c>
      <c r="Z13" s="12" t="b">
        <v>0</v>
      </c>
      <c r="AA13" s="12" t="b">
        <v>0</v>
      </c>
      <c r="AB13" s="12" t="b">
        <v>0</v>
      </c>
      <c r="AC13" s="12" t="b">
        <v>0</v>
      </c>
      <c r="AD13" s="12" t="b">
        <v>0</v>
      </c>
      <c r="AE13" s="12" t="b">
        <v>0</v>
      </c>
      <c r="AF13" s="12" t="b">
        <v>0</v>
      </c>
      <c r="AG13" s="12" t="b">
        <v>0</v>
      </c>
      <c r="AH13" s="12" t="b">
        <v>0</v>
      </c>
      <c r="AI13" s="12" t="b">
        <v>0</v>
      </c>
      <c r="AJ13" s="12" t="b">
        <v>0</v>
      </c>
      <c r="AK13" s="12" t="b">
        <v>0</v>
      </c>
      <c r="AL13" s="12" t="b">
        <v>0</v>
      </c>
      <c r="AM13" s="12" t="b">
        <v>0</v>
      </c>
      <c r="AN13" s="12" t="b">
        <v>0</v>
      </c>
      <c r="AO13" s="12" t="b">
        <v>0</v>
      </c>
      <c r="AP13" s="12" t="b">
        <v>0</v>
      </c>
      <c r="AQ13" s="12" t="b">
        <v>0</v>
      </c>
      <c r="AR13" s="12" t="b">
        <v>0</v>
      </c>
      <c r="AS13" s="12" t="b">
        <v>0</v>
      </c>
      <c r="AT13" s="12" t="b">
        <v>0</v>
      </c>
      <c r="AU13" s="12" t="b">
        <v>0</v>
      </c>
      <c r="AV13" s="12" t="b">
        <v>0</v>
      </c>
      <c r="AW13" s="12" t="b">
        <v>0</v>
      </c>
      <c r="AX13" s="12" t="b">
        <v>0</v>
      </c>
      <c r="AY13" s="12" t="b">
        <v>0</v>
      </c>
      <c r="AZ13" s="12" t="b">
        <v>0</v>
      </c>
      <c r="BA13" s="12" t="b">
        <v>0</v>
      </c>
      <c r="BB13" s="12" t="b">
        <v>0</v>
      </c>
      <c r="BC13" s="12" t="b">
        <v>0</v>
      </c>
    </row>
    <row r="14" spans="2:55" ht="16" x14ac:dyDescent="0.2">
      <c r="B14" s="11" t="s">
        <v>117</v>
      </c>
      <c r="C14" s="12" t="b">
        <v>0</v>
      </c>
      <c r="D14" s="12" t="b">
        <v>0</v>
      </c>
      <c r="E14" s="12" t="b">
        <v>0</v>
      </c>
      <c r="F14" s="12" t="b">
        <v>0</v>
      </c>
      <c r="G14" s="12" t="b">
        <v>0</v>
      </c>
      <c r="H14" s="12" t="b">
        <v>0</v>
      </c>
      <c r="I14" s="12" t="b">
        <v>0</v>
      </c>
      <c r="J14" s="12" t="b">
        <v>0</v>
      </c>
      <c r="K14" s="12" t="b">
        <v>0</v>
      </c>
      <c r="L14" s="12" t="b">
        <v>0</v>
      </c>
      <c r="M14" s="12" t="b">
        <v>0</v>
      </c>
      <c r="N14" s="12" t="b">
        <v>0</v>
      </c>
      <c r="O14" s="12" t="b">
        <v>0</v>
      </c>
      <c r="P14" s="12" t="b">
        <v>0</v>
      </c>
      <c r="Q14" s="12" t="b">
        <v>0</v>
      </c>
      <c r="R14" s="12" t="b">
        <v>0</v>
      </c>
      <c r="S14" s="12" t="b">
        <v>0</v>
      </c>
      <c r="T14" s="12" t="b">
        <v>0</v>
      </c>
      <c r="U14" s="12" t="b">
        <v>0</v>
      </c>
      <c r="V14" s="12" t="b">
        <v>0</v>
      </c>
      <c r="W14" s="12" t="b">
        <v>0</v>
      </c>
      <c r="X14" s="12" t="b">
        <v>0</v>
      </c>
      <c r="Y14" s="12" t="b">
        <v>0</v>
      </c>
      <c r="Z14" s="12" t="b">
        <v>0</v>
      </c>
      <c r="AA14" s="12" t="b">
        <v>0</v>
      </c>
      <c r="AB14" s="12" t="b">
        <v>0</v>
      </c>
      <c r="AC14" s="12" t="b">
        <v>0</v>
      </c>
      <c r="AD14" s="12" t="b">
        <v>0</v>
      </c>
      <c r="AE14" s="12" t="b">
        <v>0</v>
      </c>
      <c r="AF14" s="12" t="b">
        <v>0</v>
      </c>
      <c r="AG14" s="12" t="b">
        <v>0</v>
      </c>
      <c r="AH14" s="12" t="b">
        <v>0</v>
      </c>
      <c r="AI14" s="12" t="b">
        <v>0</v>
      </c>
      <c r="AJ14" s="12" t="b">
        <v>0</v>
      </c>
      <c r="AK14" s="12" t="b">
        <v>0</v>
      </c>
      <c r="AL14" s="12" t="b">
        <v>0</v>
      </c>
      <c r="AM14" s="12" t="b">
        <v>0</v>
      </c>
      <c r="AN14" s="12" t="b">
        <v>0</v>
      </c>
      <c r="AO14" s="12" t="b">
        <v>0</v>
      </c>
      <c r="AP14" s="12" t="b">
        <v>0</v>
      </c>
      <c r="AQ14" s="12" t="b">
        <v>0</v>
      </c>
      <c r="AR14" s="12" t="b">
        <v>0</v>
      </c>
      <c r="AS14" s="12" t="b">
        <v>0</v>
      </c>
      <c r="AT14" s="12" t="b">
        <v>0</v>
      </c>
      <c r="AU14" s="12" t="b">
        <v>0</v>
      </c>
      <c r="AV14" s="12" t="b">
        <v>0</v>
      </c>
      <c r="AW14" s="12" t="b">
        <v>0</v>
      </c>
      <c r="AX14" s="12" t="b">
        <v>0</v>
      </c>
      <c r="AY14" s="12" t="b">
        <v>0</v>
      </c>
      <c r="AZ14" s="12" t="b">
        <v>0</v>
      </c>
      <c r="BA14" s="12" t="b">
        <v>0</v>
      </c>
      <c r="BB14" s="12" t="b">
        <v>0</v>
      </c>
      <c r="BC14" s="12" t="b">
        <v>0</v>
      </c>
    </row>
    <row r="15" spans="2:55" ht="16" x14ac:dyDescent="0.2">
      <c r="B15" s="11" t="s">
        <v>118</v>
      </c>
      <c r="C15" s="12" t="b">
        <v>0</v>
      </c>
      <c r="D15" s="12" t="b">
        <v>0</v>
      </c>
      <c r="E15" s="12" t="b">
        <v>0</v>
      </c>
      <c r="F15" s="12" t="b">
        <v>0</v>
      </c>
      <c r="G15" s="12" t="b">
        <v>0</v>
      </c>
      <c r="H15" s="12" t="b">
        <v>0</v>
      </c>
      <c r="I15" s="12" t="b">
        <v>0</v>
      </c>
      <c r="J15" s="12" t="b">
        <v>0</v>
      </c>
      <c r="K15" s="12" t="b">
        <v>0</v>
      </c>
      <c r="L15" s="12" t="b">
        <v>0</v>
      </c>
      <c r="M15" s="12" t="b">
        <v>0</v>
      </c>
      <c r="N15" s="12" t="b">
        <v>0</v>
      </c>
      <c r="O15" s="12" t="b">
        <v>0</v>
      </c>
      <c r="P15" s="12" t="b">
        <v>0</v>
      </c>
      <c r="Q15" s="12" t="b">
        <v>0</v>
      </c>
      <c r="R15" s="12" t="b">
        <v>0</v>
      </c>
      <c r="S15" s="12" t="b">
        <v>0</v>
      </c>
      <c r="T15" s="12" t="b">
        <v>0</v>
      </c>
      <c r="U15" s="12" t="b">
        <v>0</v>
      </c>
      <c r="V15" s="12" t="b">
        <v>0</v>
      </c>
      <c r="W15" s="12" t="b">
        <v>0</v>
      </c>
      <c r="X15" s="12" t="b">
        <v>0</v>
      </c>
      <c r="Y15" s="12" t="b">
        <v>0</v>
      </c>
      <c r="Z15" s="12" t="b">
        <v>0</v>
      </c>
      <c r="AA15" s="12" t="b">
        <v>0</v>
      </c>
      <c r="AB15" s="12" t="b">
        <v>0</v>
      </c>
      <c r="AC15" s="12" t="b">
        <v>0</v>
      </c>
      <c r="AD15" s="12" t="b">
        <v>0</v>
      </c>
      <c r="AE15" s="12" t="b">
        <v>0</v>
      </c>
      <c r="AF15" s="12" t="b">
        <v>0</v>
      </c>
      <c r="AG15" s="12" t="b">
        <v>0</v>
      </c>
      <c r="AH15" s="12" t="b">
        <v>0</v>
      </c>
      <c r="AI15" s="12" t="b">
        <v>0</v>
      </c>
      <c r="AJ15" s="12" t="b">
        <v>0</v>
      </c>
      <c r="AK15" s="12" t="b">
        <v>0</v>
      </c>
      <c r="AL15" s="12" t="b">
        <v>0</v>
      </c>
      <c r="AM15" s="12" t="b">
        <v>0</v>
      </c>
      <c r="AN15" s="12" t="b">
        <v>0</v>
      </c>
      <c r="AO15" s="12" t="b">
        <v>0</v>
      </c>
      <c r="AP15" s="12" t="b">
        <v>0</v>
      </c>
      <c r="AQ15" s="12" t="b">
        <v>0</v>
      </c>
      <c r="AR15" s="12" t="b">
        <v>0</v>
      </c>
      <c r="AS15" s="12" t="b">
        <v>0</v>
      </c>
      <c r="AT15" s="12" t="b">
        <v>0</v>
      </c>
      <c r="AU15" s="12" t="b">
        <v>0</v>
      </c>
      <c r="AV15" s="12" t="b">
        <v>0</v>
      </c>
      <c r="AW15" s="12" t="b">
        <v>0</v>
      </c>
      <c r="AX15" s="12" t="b">
        <v>0</v>
      </c>
      <c r="AY15" s="12" t="b">
        <v>0</v>
      </c>
      <c r="AZ15" s="12" t="b">
        <v>0</v>
      </c>
      <c r="BA15" s="12" t="b">
        <v>0</v>
      </c>
      <c r="BB15" s="12" t="b">
        <v>0</v>
      </c>
      <c r="BC15" s="12" t="b">
        <v>0</v>
      </c>
    </row>
    <row r="16" spans="2:55" ht="16" x14ac:dyDescent="0.2">
      <c r="B16" s="11" t="s">
        <v>119</v>
      </c>
      <c r="C16" s="12" t="b">
        <v>0</v>
      </c>
      <c r="D16" s="12" t="b">
        <v>0</v>
      </c>
      <c r="E16" s="12" t="b">
        <v>0</v>
      </c>
      <c r="F16" s="12" t="b">
        <v>0</v>
      </c>
      <c r="G16" s="12" t="b">
        <v>0</v>
      </c>
      <c r="H16" s="12" t="b">
        <v>0</v>
      </c>
      <c r="I16" s="12" t="b">
        <v>0</v>
      </c>
      <c r="J16" s="12" t="b">
        <v>0</v>
      </c>
      <c r="K16" s="12" t="b">
        <v>0</v>
      </c>
      <c r="L16" s="12" t="b">
        <v>0</v>
      </c>
      <c r="M16" s="12" t="b">
        <v>0</v>
      </c>
      <c r="N16" s="12" t="b">
        <v>0</v>
      </c>
      <c r="O16" s="12" t="b">
        <v>0</v>
      </c>
      <c r="P16" s="12" t="b">
        <v>0</v>
      </c>
      <c r="Q16" s="12" t="b">
        <v>0</v>
      </c>
      <c r="R16" s="12" t="b">
        <v>0</v>
      </c>
      <c r="S16" s="12" t="b">
        <v>0</v>
      </c>
      <c r="T16" s="12" t="b">
        <v>0</v>
      </c>
      <c r="U16" s="12" t="b">
        <v>0</v>
      </c>
      <c r="V16" s="12" t="b">
        <v>0</v>
      </c>
      <c r="W16" s="12" t="b">
        <v>0</v>
      </c>
      <c r="X16" s="12" t="b">
        <v>0</v>
      </c>
      <c r="Y16" s="12" t="b">
        <v>0</v>
      </c>
      <c r="Z16" s="12" t="b">
        <v>0</v>
      </c>
      <c r="AA16" s="12" t="b">
        <v>0</v>
      </c>
      <c r="AB16" s="12" t="b">
        <v>0</v>
      </c>
      <c r="AC16" s="12" t="b">
        <v>0</v>
      </c>
      <c r="AD16" s="12" t="b">
        <v>0</v>
      </c>
      <c r="AE16" s="12" t="b">
        <v>0</v>
      </c>
      <c r="AF16" s="12" t="b">
        <v>0</v>
      </c>
      <c r="AG16" s="12" t="b">
        <v>0</v>
      </c>
      <c r="AH16" s="12" t="b">
        <v>0</v>
      </c>
      <c r="AI16" s="12" t="b">
        <v>0</v>
      </c>
      <c r="AJ16" s="12" t="b">
        <v>0</v>
      </c>
      <c r="AK16" s="12" t="b">
        <v>0</v>
      </c>
      <c r="AL16" s="12" t="b">
        <v>0</v>
      </c>
      <c r="AM16" s="12" t="b">
        <v>0</v>
      </c>
      <c r="AN16" s="12" t="b">
        <v>0</v>
      </c>
      <c r="AO16" s="12" t="b">
        <v>0</v>
      </c>
      <c r="AP16" s="12" t="b">
        <v>0</v>
      </c>
      <c r="AQ16" s="12" t="b">
        <v>0</v>
      </c>
      <c r="AR16" s="12" t="b">
        <v>0</v>
      </c>
      <c r="AS16" s="12" t="b">
        <v>0</v>
      </c>
      <c r="AT16" s="12" t="b">
        <v>0</v>
      </c>
      <c r="AU16" s="12" t="b">
        <v>0</v>
      </c>
      <c r="AV16" s="12" t="b">
        <v>0</v>
      </c>
      <c r="AW16" s="12" t="b">
        <v>0</v>
      </c>
      <c r="AX16" s="12" t="b">
        <v>0</v>
      </c>
      <c r="AY16" s="12" t="b">
        <v>0</v>
      </c>
      <c r="AZ16" s="12" t="b">
        <v>0</v>
      </c>
      <c r="BA16" s="12" t="b">
        <v>0</v>
      </c>
      <c r="BB16" s="12" t="b">
        <v>0</v>
      </c>
      <c r="BC16" s="12" t="b">
        <v>0</v>
      </c>
    </row>
    <row r="17" spans="2:55" ht="16" x14ac:dyDescent="0.2">
      <c r="B17" s="11" t="s">
        <v>120</v>
      </c>
      <c r="C17" s="12" t="b">
        <v>0</v>
      </c>
      <c r="D17" s="12" t="b">
        <v>0</v>
      </c>
      <c r="E17" s="12" t="b">
        <v>0</v>
      </c>
      <c r="F17" s="12" t="b">
        <v>0</v>
      </c>
      <c r="G17" s="12" t="b">
        <v>0</v>
      </c>
      <c r="H17" s="12" t="b">
        <v>0</v>
      </c>
      <c r="I17" s="12" t="b">
        <v>0</v>
      </c>
      <c r="J17" s="12" t="b">
        <v>0</v>
      </c>
      <c r="K17" s="12" t="b">
        <v>0</v>
      </c>
      <c r="L17" s="12" t="b">
        <v>0</v>
      </c>
      <c r="M17" s="12" t="b">
        <v>0</v>
      </c>
      <c r="N17" s="12" t="b">
        <v>0</v>
      </c>
      <c r="O17" s="12" t="b">
        <v>0</v>
      </c>
      <c r="P17" s="12" t="b">
        <v>0</v>
      </c>
      <c r="Q17" s="12" t="b">
        <v>0</v>
      </c>
      <c r="R17" s="12" t="b">
        <v>0</v>
      </c>
      <c r="S17" s="12" t="b">
        <v>0</v>
      </c>
      <c r="T17" s="12" t="b">
        <v>0</v>
      </c>
      <c r="U17" s="12" t="b">
        <v>0</v>
      </c>
      <c r="V17" s="12" t="b">
        <v>0</v>
      </c>
      <c r="W17" s="12" t="b">
        <v>0</v>
      </c>
      <c r="X17" s="12" t="b">
        <v>0</v>
      </c>
      <c r="Y17" s="12" t="b">
        <v>0</v>
      </c>
      <c r="Z17" s="12" t="b">
        <v>0</v>
      </c>
      <c r="AA17" s="12" t="b">
        <v>0</v>
      </c>
      <c r="AB17" s="12" t="b">
        <v>0</v>
      </c>
      <c r="AC17" s="12" t="b">
        <v>0</v>
      </c>
      <c r="AD17" s="12" t="b">
        <v>0</v>
      </c>
      <c r="AE17" s="12" t="b">
        <v>0</v>
      </c>
      <c r="AF17" s="12" t="b">
        <v>0</v>
      </c>
      <c r="AG17" s="12" t="b">
        <v>0</v>
      </c>
      <c r="AH17" s="12" t="b">
        <v>0</v>
      </c>
      <c r="AI17" s="12" t="b">
        <v>0</v>
      </c>
      <c r="AJ17" s="12" t="b">
        <v>0</v>
      </c>
      <c r="AK17" s="12" t="b">
        <v>0</v>
      </c>
      <c r="AL17" s="12" t="b">
        <v>0</v>
      </c>
      <c r="AM17" s="12" t="b">
        <v>0</v>
      </c>
      <c r="AN17" s="12" t="b">
        <v>0</v>
      </c>
      <c r="AO17" s="12" t="b">
        <v>0</v>
      </c>
      <c r="AP17" s="12" t="b">
        <v>0</v>
      </c>
      <c r="AQ17" s="12" t="b">
        <v>0</v>
      </c>
      <c r="AR17" s="12" t="b">
        <v>0</v>
      </c>
      <c r="AS17" s="12" t="b">
        <v>0</v>
      </c>
      <c r="AT17" s="12" t="b">
        <v>0</v>
      </c>
      <c r="AU17" s="12" t="b">
        <v>0</v>
      </c>
      <c r="AV17" s="12" t="b">
        <v>0</v>
      </c>
      <c r="AW17" s="12" t="b">
        <v>0</v>
      </c>
      <c r="AX17" s="12" t="b">
        <v>0</v>
      </c>
      <c r="AY17" s="12" t="b">
        <v>0</v>
      </c>
      <c r="AZ17" s="12" t="b">
        <v>0</v>
      </c>
      <c r="BA17" s="12" t="b">
        <v>0</v>
      </c>
      <c r="BB17" s="12" t="b">
        <v>0</v>
      </c>
      <c r="BC17" s="12" t="b">
        <v>0</v>
      </c>
    </row>
    <row r="18" spans="2:55" ht="16" x14ac:dyDescent="0.2">
      <c r="B18" s="9" t="s">
        <v>121</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row>
    <row r="19" spans="2:55" ht="16" x14ac:dyDescent="0.2">
      <c r="B19" s="11" t="s">
        <v>122</v>
      </c>
      <c r="C19" s="12" t="b">
        <v>0</v>
      </c>
      <c r="D19" s="12" t="b">
        <v>0</v>
      </c>
      <c r="E19" s="12" t="b">
        <v>0</v>
      </c>
      <c r="F19" s="12" t="b">
        <v>0</v>
      </c>
      <c r="G19" s="12" t="b">
        <v>0</v>
      </c>
      <c r="H19" s="12" t="b">
        <v>0</v>
      </c>
      <c r="I19" s="12" t="b">
        <v>0</v>
      </c>
      <c r="J19" s="12" t="b">
        <v>0</v>
      </c>
      <c r="K19" s="12" t="b">
        <v>0</v>
      </c>
      <c r="L19" s="12" t="b">
        <v>0</v>
      </c>
      <c r="M19" s="12" t="b">
        <v>0</v>
      </c>
      <c r="N19" s="12" t="b">
        <v>0</v>
      </c>
      <c r="O19" s="12" t="b">
        <v>0</v>
      </c>
      <c r="P19" s="12" t="b">
        <v>0</v>
      </c>
      <c r="Q19" s="12" t="b">
        <v>0</v>
      </c>
      <c r="R19" s="12" t="b">
        <v>0</v>
      </c>
      <c r="S19" s="12" t="b">
        <v>0</v>
      </c>
      <c r="T19" s="12" t="b">
        <v>0</v>
      </c>
      <c r="U19" s="12" t="b">
        <v>0</v>
      </c>
      <c r="V19" s="12" t="b">
        <v>0</v>
      </c>
      <c r="W19" s="12" t="b">
        <v>0</v>
      </c>
      <c r="X19" s="12" t="b">
        <v>0</v>
      </c>
      <c r="Y19" s="12" t="b">
        <v>0</v>
      </c>
      <c r="Z19" s="12" t="b">
        <v>0</v>
      </c>
      <c r="AA19" s="12" t="b">
        <v>0</v>
      </c>
      <c r="AB19" s="12" t="b">
        <v>0</v>
      </c>
      <c r="AC19" s="12" t="b">
        <v>0</v>
      </c>
      <c r="AD19" s="12" t="b">
        <v>0</v>
      </c>
      <c r="AE19" s="12" t="b">
        <v>0</v>
      </c>
      <c r="AF19" s="12" t="b">
        <v>0</v>
      </c>
      <c r="AG19" s="12" t="b">
        <v>0</v>
      </c>
      <c r="AH19" s="12" t="b">
        <v>0</v>
      </c>
      <c r="AI19" s="12" t="b">
        <v>0</v>
      </c>
      <c r="AJ19" s="12" t="b">
        <v>0</v>
      </c>
      <c r="AK19" s="12" t="b">
        <v>0</v>
      </c>
      <c r="AL19" s="12" t="b">
        <v>0</v>
      </c>
      <c r="AM19" s="12" t="b">
        <v>0</v>
      </c>
      <c r="AN19" s="12" t="b">
        <v>0</v>
      </c>
      <c r="AO19" s="12" t="b">
        <v>0</v>
      </c>
      <c r="AP19" s="12" t="b">
        <v>0</v>
      </c>
      <c r="AQ19" s="12" t="b">
        <v>0</v>
      </c>
      <c r="AR19" s="12" t="b">
        <v>0</v>
      </c>
      <c r="AS19" s="12" t="b">
        <v>0</v>
      </c>
      <c r="AT19" s="12" t="b">
        <v>0</v>
      </c>
      <c r="AU19" s="12" t="b">
        <v>0</v>
      </c>
      <c r="AV19" s="12" t="b">
        <v>0</v>
      </c>
      <c r="AW19" s="12" t="b">
        <v>0</v>
      </c>
      <c r="AX19" s="12" t="b">
        <v>0</v>
      </c>
      <c r="AY19" s="12" t="b">
        <v>0</v>
      </c>
      <c r="AZ19" s="12" t="b">
        <v>0</v>
      </c>
      <c r="BA19" s="12" t="b">
        <v>0</v>
      </c>
      <c r="BB19" s="12" t="b">
        <v>0</v>
      </c>
      <c r="BC19" s="12" t="b">
        <v>0</v>
      </c>
    </row>
    <row r="20" spans="2:55" ht="16" x14ac:dyDescent="0.2">
      <c r="B20" s="11" t="s">
        <v>123</v>
      </c>
      <c r="C20" s="12" t="b">
        <v>0</v>
      </c>
      <c r="D20" s="12" t="b">
        <v>0</v>
      </c>
      <c r="E20" s="12" t="b">
        <v>0</v>
      </c>
      <c r="F20" s="12" t="b">
        <v>0</v>
      </c>
      <c r="G20" s="12" t="b">
        <v>0</v>
      </c>
      <c r="H20" s="12" t="b">
        <v>0</v>
      </c>
      <c r="I20" s="12" t="b">
        <v>0</v>
      </c>
      <c r="J20" s="12" t="b">
        <v>0</v>
      </c>
      <c r="K20" s="12" t="b">
        <v>0</v>
      </c>
      <c r="L20" s="12" t="b">
        <v>0</v>
      </c>
      <c r="M20" s="12" t="b">
        <v>0</v>
      </c>
      <c r="N20" s="12" t="b">
        <v>0</v>
      </c>
      <c r="O20" s="12" t="b">
        <v>0</v>
      </c>
      <c r="P20" s="12" t="b">
        <v>0</v>
      </c>
      <c r="Q20" s="12" t="b">
        <v>0</v>
      </c>
      <c r="R20" s="12" t="b">
        <v>0</v>
      </c>
      <c r="S20" s="12" t="b">
        <v>0</v>
      </c>
      <c r="T20" s="12" t="b">
        <v>0</v>
      </c>
      <c r="U20" s="12" t="b">
        <v>0</v>
      </c>
      <c r="V20" s="12" t="b">
        <v>0</v>
      </c>
      <c r="W20" s="12" t="b">
        <v>0</v>
      </c>
      <c r="X20" s="12" t="b">
        <v>0</v>
      </c>
      <c r="Y20" s="12" t="b">
        <v>0</v>
      </c>
      <c r="Z20" s="12" t="b">
        <v>0</v>
      </c>
      <c r="AA20" s="12" t="b">
        <v>0</v>
      </c>
      <c r="AB20" s="12" t="b">
        <v>0</v>
      </c>
      <c r="AC20" s="12" t="b">
        <v>0</v>
      </c>
      <c r="AD20" s="12" t="b">
        <v>0</v>
      </c>
      <c r="AE20" s="12" t="b">
        <v>0</v>
      </c>
      <c r="AF20" s="12" t="b">
        <v>0</v>
      </c>
      <c r="AG20" s="12" t="b">
        <v>0</v>
      </c>
      <c r="AH20" s="12" t="b">
        <v>0</v>
      </c>
      <c r="AI20" s="12" t="b">
        <v>0</v>
      </c>
      <c r="AJ20" s="12" t="b">
        <v>0</v>
      </c>
      <c r="AK20" s="12" t="b">
        <v>0</v>
      </c>
      <c r="AL20" s="12" t="b">
        <v>0</v>
      </c>
      <c r="AM20" s="12" t="b">
        <v>0</v>
      </c>
      <c r="AN20" s="12" t="b">
        <v>0</v>
      </c>
      <c r="AO20" s="12" t="b">
        <v>0</v>
      </c>
      <c r="AP20" s="12" t="b">
        <v>0</v>
      </c>
      <c r="AQ20" s="12" t="b">
        <v>0</v>
      </c>
      <c r="AR20" s="12" t="b">
        <v>0</v>
      </c>
      <c r="AS20" s="12" t="b">
        <v>0</v>
      </c>
      <c r="AT20" s="12" t="b">
        <v>0</v>
      </c>
      <c r="AU20" s="12" t="b">
        <v>0</v>
      </c>
      <c r="AV20" s="12" t="b">
        <v>0</v>
      </c>
      <c r="AW20" s="12" t="b">
        <v>0</v>
      </c>
      <c r="AX20" s="12" t="b">
        <v>0</v>
      </c>
      <c r="AY20" s="12" t="b">
        <v>0</v>
      </c>
      <c r="AZ20" s="12" t="b">
        <v>0</v>
      </c>
      <c r="BA20" s="12" t="b">
        <v>0</v>
      </c>
      <c r="BB20" s="12" t="b">
        <v>0</v>
      </c>
      <c r="BC20" s="12" t="b">
        <v>0</v>
      </c>
    </row>
    <row r="21" spans="2:55" ht="16" x14ac:dyDescent="0.2">
      <c r="B21" s="11" t="s">
        <v>124</v>
      </c>
      <c r="C21" s="12" t="b">
        <v>0</v>
      </c>
      <c r="D21" s="12" t="b">
        <v>0</v>
      </c>
      <c r="E21" s="12" t="b">
        <v>0</v>
      </c>
      <c r="F21" s="12" t="b">
        <v>0</v>
      </c>
      <c r="G21" s="12" t="b">
        <v>0</v>
      </c>
      <c r="H21" s="12" t="b">
        <v>0</v>
      </c>
      <c r="I21" s="12" t="b">
        <v>0</v>
      </c>
      <c r="J21" s="12" t="b">
        <v>0</v>
      </c>
      <c r="K21" s="12" t="b">
        <v>0</v>
      </c>
      <c r="L21" s="12" t="b">
        <v>0</v>
      </c>
      <c r="M21" s="12" t="b">
        <v>0</v>
      </c>
      <c r="N21" s="12" t="b">
        <v>0</v>
      </c>
      <c r="O21" s="12" t="b">
        <v>0</v>
      </c>
      <c r="P21" s="12" t="b">
        <v>0</v>
      </c>
      <c r="Q21" s="12" t="b">
        <v>0</v>
      </c>
      <c r="R21" s="12" t="b">
        <v>0</v>
      </c>
      <c r="S21" s="12" t="b">
        <v>0</v>
      </c>
      <c r="T21" s="12" t="b">
        <v>0</v>
      </c>
      <c r="U21" s="12" t="b">
        <v>0</v>
      </c>
      <c r="V21" s="12" t="b">
        <v>0</v>
      </c>
      <c r="W21" s="12" t="b">
        <v>0</v>
      </c>
      <c r="X21" s="12" t="b">
        <v>0</v>
      </c>
      <c r="Y21" s="12" t="b">
        <v>0</v>
      </c>
      <c r="Z21" s="12" t="b">
        <v>0</v>
      </c>
      <c r="AA21" s="12" t="b">
        <v>0</v>
      </c>
      <c r="AB21" s="12" t="b">
        <v>0</v>
      </c>
      <c r="AC21" s="12" t="b">
        <v>0</v>
      </c>
      <c r="AD21" s="12" t="b">
        <v>0</v>
      </c>
      <c r="AE21" s="12" t="b">
        <v>0</v>
      </c>
      <c r="AF21" s="12" t="b">
        <v>0</v>
      </c>
      <c r="AG21" s="12" t="b">
        <v>0</v>
      </c>
      <c r="AH21" s="12" t="b">
        <v>0</v>
      </c>
      <c r="AI21" s="12" t="b">
        <v>0</v>
      </c>
      <c r="AJ21" s="12" t="b">
        <v>0</v>
      </c>
      <c r="AK21" s="12" t="b">
        <v>0</v>
      </c>
      <c r="AL21" s="12" t="b">
        <v>0</v>
      </c>
      <c r="AM21" s="12" t="b">
        <v>0</v>
      </c>
      <c r="AN21" s="12" t="b">
        <v>0</v>
      </c>
      <c r="AO21" s="12" t="b">
        <v>0</v>
      </c>
      <c r="AP21" s="12" t="b">
        <v>0</v>
      </c>
      <c r="AQ21" s="12" t="b">
        <v>0</v>
      </c>
      <c r="AR21" s="12" t="b">
        <v>0</v>
      </c>
      <c r="AS21" s="12" t="b">
        <v>0</v>
      </c>
      <c r="AT21" s="12" t="b">
        <v>0</v>
      </c>
      <c r="AU21" s="12" t="b">
        <v>0</v>
      </c>
      <c r="AV21" s="12" t="b">
        <v>0</v>
      </c>
      <c r="AW21" s="12" t="b">
        <v>0</v>
      </c>
      <c r="AX21" s="12" t="b">
        <v>0</v>
      </c>
      <c r="AY21" s="12" t="b">
        <v>0</v>
      </c>
      <c r="AZ21" s="12" t="b">
        <v>0</v>
      </c>
      <c r="BA21" s="12" t="b">
        <v>0</v>
      </c>
      <c r="BB21" s="12" t="b">
        <v>0</v>
      </c>
      <c r="BC21" s="12" t="b">
        <v>0</v>
      </c>
    </row>
    <row r="22" spans="2:55" ht="16" x14ac:dyDescent="0.2">
      <c r="B22" s="11" t="s">
        <v>125</v>
      </c>
      <c r="C22" s="12" t="b">
        <v>0</v>
      </c>
      <c r="D22" s="12" t="b">
        <v>0</v>
      </c>
      <c r="E22" s="12" t="b">
        <v>0</v>
      </c>
      <c r="F22" s="12" t="b">
        <v>0</v>
      </c>
      <c r="G22" s="12" t="b">
        <v>0</v>
      </c>
      <c r="H22" s="12" t="b">
        <v>0</v>
      </c>
      <c r="I22" s="12" t="b">
        <v>0</v>
      </c>
      <c r="J22" s="12" t="b">
        <v>0</v>
      </c>
      <c r="K22" s="12" t="b">
        <v>0</v>
      </c>
      <c r="L22" s="12" t="b">
        <v>0</v>
      </c>
      <c r="M22" s="12" t="b">
        <v>0</v>
      </c>
      <c r="N22" s="12" t="b">
        <v>0</v>
      </c>
      <c r="O22" s="12" t="b">
        <v>0</v>
      </c>
      <c r="P22" s="12" t="b">
        <v>0</v>
      </c>
      <c r="Q22" s="12" t="b">
        <v>0</v>
      </c>
      <c r="R22" s="12" t="b">
        <v>0</v>
      </c>
      <c r="S22" s="12" t="b">
        <v>0</v>
      </c>
      <c r="T22" s="12" t="b">
        <v>0</v>
      </c>
      <c r="U22" s="12" t="b">
        <v>0</v>
      </c>
      <c r="V22" s="12" t="b">
        <v>0</v>
      </c>
      <c r="W22" s="12" t="b">
        <v>0</v>
      </c>
      <c r="X22" s="12" t="b">
        <v>0</v>
      </c>
      <c r="Y22" s="12" t="b">
        <v>0</v>
      </c>
      <c r="Z22" s="12" t="b">
        <v>0</v>
      </c>
      <c r="AA22" s="12" t="b">
        <v>0</v>
      </c>
      <c r="AB22" s="12" t="b">
        <v>0</v>
      </c>
      <c r="AC22" s="12" t="b">
        <v>0</v>
      </c>
      <c r="AD22" s="12" t="b">
        <v>0</v>
      </c>
      <c r="AE22" s="12" t="b">
        <v>0</v>
      </c>
      <c r="AF22" s="12" t="b">
        <v>0</v>
      </c>
      <c r="AG22" s="12" t="b">
        <v>0</v>
      </c>
      <c r="AH22" s="12" t="b">
        <v>0</v>
      </c>
      <c r="AI22" s="12" t="b">
        <v>0</v>
      </c>
      <c r="AJ22" s="12" t="b">
        <v>0</v>
      </c>
      <c r="AK22" s="12" t="b">
        <v>0</v>
      </c>
      <c r="AL22" s="12" t="b">
        <v>0</v>
      </c>
      <c r="AM22" s="12" t="b">
        <v>0</v>
      </c>
      <c r="AN22" s="12" t="b">
        <v>0</v>
      </c>
      <c r="AO22" s="12" t="b">
        <v>0</v>
      </c>
      <c r="AP22" s="12" t="b">
        <v>0</v>
      </c>
      <c r="AQ22" s="12" t="b">
        <v>0</v>
      </c>
      <c r="AR22" s="12" t="b">
        <v>0</v>
      </c>
      <c r="AS22" s="12" t="b">
        <v>0</v>
      </c>
      <c r="AT22" s="12" t="b">
        <v>0</v>
      </c>
      <c r="AU22" s="12" t="b">
        <v>0</v>
      </c>
      <c r="AV22" s="12" t="b">
        <v>0</v>
      </c>
      <c r="AW22" s="12" t="b">
        <v>0</v>
      </c>
      <c r="AX22" s="12" t="b">
        <v>0</v>
      </c>
      <c r="AY22" s="12" t="b">
        <v>0</v>
      </c>
      <c r="AZ22" s="12" t="b">
        <v>0</v>
      </c>
      <c r="BA22" s="12" t="b">
        <v>0</v>
      </c>
      <c r="BB22" s="12" t="b">
        <v>0</v>
      </c>
      <c r="BC22" s="12" t="b">
        <v>0</v>
      </c>
    </row>
    <row r="23" spans="2:55" ht="16" x14ac:dyDescent="0.2">
      <c r="B23" s="11" t="s">
        <v>126</v>
      </c>
      <c r="C23" s="12" t="b">
        <v>0</v>
      </c>
      <c r="D23" s="12" t="b">
        <v>0</v>
      </c>
      <c r="E23" s="12" t="b">
        <v>0</v>
      </c>
      <c r="F23" s="12" t="b">
        <v>0</v>
      </c>
      <c r="G23" s="12" t="b">
        <v>0</v>
      </c>
      <c r="H23" s="12" t="b">
        <v>0</v>
      </c>
      <c r="I23" s="12" t="b">
        <v>0</v>
      </c>
      <c r="J23" s="12" t="b">
        <v>0</v>
      </c>
      <c r="K23" s="12" t="b">
        <v>0</v>
      </c>
      <c r="L23" s="12" t="b">
        <v>0</v>
      </c>
      <c r="M23" s="12" t="b">
        <v>0</v>
      </c>
      <c r="N23" s="12" t="b">
        <v>0</v>
      </c>
      <c r="O23" s="12" t="b">
        <v>0</v>
      </c>
      <c r="P23" s="12" t="b">
        <v>0</v>
      </c>
      <c r="Q23" s="12" t="b">
        <v>0</v>
      </c>
      <c r="R23" s="12" t="b">
        <v>0</v>
      </c>
      <c r="S23" s="12" t="b">
        <v>0</v>
      </c>
      <c r="T23" s="12" t="b">
        <v>0</v>
      </c>
      <c r="U23" s="12" t="b">
        <v>0</v>
      </c>
      <c r="V23" s="12" t="b">
        <v>0</v>
      </c>
      <c r="W23" s="12" t="b">
        <v>0</v>
      </c>
      <c r="X23" s="12" t="b">
        <v>0</v>
      </c>
      <c r="Y23" s="12" t="b">
        <v>0</v>
      </c>
      <c r="Z23" s="12" t="b">
        <v>0</v>
      </c>
      <c r="AA23" s="12" t="b">
        <v>0</v>
      </c>
      <c r="AB23" s="12" t="b">
        <v>0</v>
      </c>
      <c r="AC23" s="12" t="b">
        <v>0</v>
      </c>
      <c r="AD23" s="12" t="b">
        <v>0</v>
      </c>
      <c r="AE23" s="12" t="b">
        <v>0</v>
      </c>
      <c r="AF23" s="12" t="b">
        <v>0</v>
      </c>
      <c r="AG23" s="12" t="b">
        <v>0</v>
      </c>
      <c r="AH23" s="12" t="b">
        <v>0</v>
      </c>
      <c r="AI23" s="12" t="b">
        <v>0</v>
      </c>
      <c r="AJ23" s="12" t="b">
        <v>0</v>
      </c>
      <c r="AK23" s="12" t="b">
        <v>0</v>
      </c>
      <c r="AL23" s="12" t="b">
        <v>0</v>
      </c>
      <c r="AM23" s="12" t="b">
        <v>0</v>
      </c>
      <c r="AN23" s="12" t="b">
        <v>0</v>
      </c>
      <c r="AO23" s="12" t="b">
        <v>0</v>
      </c>
      <c r="AP23" s="12" t="b">
        <v>0</v>
      </c>
      <c r="AQ23" s="12" t="b">
        <v>0</v>
      </c>
      <c r="AR23" s="12" t="b">
        <v>0</v>
      </c>
      <c r="AS23" s="12" t="b">
        <v>0</v>
      </c>
      <c r="AT23" s="12" t="b">
        <v>0</v>
      </c>
      <c r="AU23" s="12" t="b">
        <v>0</v>
      </c>
      <c r="AV23" s="12" t="b">
        <v>0</v>
      </c>
      <c r="AW23" s="12" t="b">
        <v>0</v>
      </c>
      <c r="AX23" s="12" t="b">
        <v>0</v>
      </c>
      <c r="AY23" s="12" t="b">
        <v>0</v>
      </c>
      <c r="AZ23" s="12" t="b">
        <v>0</v>
      </c>
      <c r="BA23" s="12" t="b">
        <v>0</v>
      </c>
      <c r="BB23" s="12" t="b">
        <v>0</v>
      </c>
      <c r="BC23" s="12" t="b">
        <v>0</v>
      </c>
    </row>
    <row r="24" spans="2:55" ht="16" x14ac:dyDescent="0.2">
      <c r="B24" s="11" t="s">
        <v>127</v>
      </c>
      <c r="C24" s="12" t="b">
        <v>0</v>
      </c>
      <c r="D24" s="12" t="b">
        <v>0</v>
      </c>
      <c r="E24" s="12" t="b">
        <v>0</v>
      </c>
      <c r="F24" s="12" t="b">
        <v>0</v>
      </c>
      <c r="G24" s="12" t="b">
        <v>0</v>
      </c>
      <c r="H24" s="12" t="b">
        <v>0</v>
      </c>
      <c r="I24" s="12" t="b">
        <v>0</v>
      </c>
      <c r="J24" s="12" t="b">
        <v>0</v>
      </c>
      <c r="K24" s="12" t="b">
        <v>0</v>
      </c>
      <c r="L24" s="12" t="b">
        <v>0</v>
      </c>
      <c r="M24" s="12" t="b">
        <v>0</v>
      </c>
      <c r="N24" s="12" t="b">
        <v>0</v>
      </c>
      <c r="O24" s="12" t="b">
        <v>0</v>
      </c>
      <c r="P24" s="12" t="b">
        <v>0</v>
      </c>
      <c r="Q24" s="12" t="b">
        <v>0</v>
      </c>
      <c r="R24" s="12" t="b">
        <v>0</v>
      </c>
      <c r="S24" s="12" t="b">
        <v>0</v>
      </c>
      <c r="T24" s="12" t="b">
        <v>0</v>
      </c>
      <c r="U24" s="12" t="b">
        <v>0</v>
      </c>
      <c r="V24" s="12" t="b">
        <v>0</v>
      </c>
      <c r="W24" s="12" t="b">
        <v>0</v>
      </c>
      <c r="X24" s="12" t="b">
        <v>0</v>
      </c>
      <c r="Y24" s="12" t="b">
        <v>0</v>
      </c>
      <c r="Z24" s="12" t="b">
        <v>0</v>
      </c>
      <c r="AA24" s="12" t="b">
        <v>0</v>
      </c>
      <c r="AB24" s="12" t="b">
        <v>0</v>
      </c>
      <c r="AC24" s="12" t="b">
        <v>0</v>
      </c>
      <c r="AD24" s="12" t="b">
        <v>0</v>
      </c>
      <c r="AE24" s="12" t="b">
        <v>0</v>
      </c>
      <c r="AF24" s="12" t="b">
        <v>0</v>
      </c>
      <c r="AG24" s="12" t="b">
        <v>0</v>
      </c>
      <c r="AH24" s="12" t="b">
        <v>0</v>
      </c>
      <c r="AI24" s="12" t="b">
        <v>0</v>
      </c>
      <c r="AJ24" s="12" t="b">
        <v>0</v>
      </c>
      <c r="AK24" s="12" t="b">
        <v>0</v>
      </c>
      <c r="AL24" s="12" t="b">
        <v>0</v>
      </c>
      <c r="AM24" s="12" t="b">
        <v>0</v>
      </c>
      <c r="AN24" s="12" t="b">
        <v>0</v>
      </c>
      <c r="AO24" s="12" t="b">
        <v>0</v>
      </c>
      <c r="AP24" s="12" t="b">
        <v>0</v>
      </c>
      <c r="AQ24" s="12" t="b">
        <v>0</v>
      </c>
      <c r="AR24" s="12" t="b">
        <v>0</v>
      </c>
      <c r="AS24" s="12" t="b">
        <v>0</v>
      </c>
      <c r="AT24" s="12" t="b">
        <v>0</v>
      </c>
      <c r="AU24" s="12" t="b">
        <v>0</v>
      </c>
      <c r="AV24" s="12" t="b">
        <v>0</v>
      </c>
      <c r="AW24" s="12" t="b">
        <v>0</v>
      </c>
      <c r="AX24" s="12" t="b">
        <v>0</v>
      </c>
      <c r="AY24" s="12" t="b">
        <v>0</v>
      </c>
      <c r="AZ24" s="12" t="b">
        <v>0</v>
      </c>
      <c r="BA24" s="12" t="b">
        <v>0</v>
      </c>
      <c r="BB24" s="12" t="b">
        <v>0</v>
      </c>
      <c r="BC24" s="12" t="b">
        <v>0</v>
      </c>
    </row>
    <row r="25" spans="2:55" ht="16" x14ac:dyDescent="0.2">
      <c r="B25" s="11" t="s">
        <v>128</v>
      </c>
      <c r="C25" s="12" t="b">
        <v>0</v>
      </c>
      <c r="D25" s="12" t="b">
        <v>0</v>
      </c>
      <c r="E25" s="12" t="b">
        <v>0</v>
      </c>
      <c r="F25" s="12" t="b">
        <v>0</v>
      </c>
      <c r="G25" s="12" t="b">
        <v>0</v>
      </c>
      <c r="H25" s="12" t="b">
        <v>0</v>
      </c>
      <c r="I25" s="12" t="b">
        <v>0</v>
      </c>
      <c r="J25" s="12" t="b">
        <v>0</v>
      </c>
      <c r="K25" s="12" t="b">
        <v>0</v>
      </c>
      <c r="L25" s="12" t="b">
        <v>0</v>
      </c>
      <c r="M25" s="12" t="b">
        <v>0</v>
      </c>
      <c r="N25" s="12" t="b">
        <v>0</v>
      </c>
      <c r="O25" s="12" t="b">
        <v>0</v>
      </c>
      <c r="P25" s="12" t="b">
        <v>0</v>
      </c>
      <c r="Q25" s="12" t="b">
        <v>0</v>
      </c>
      <c r="R25" s="12" t="b">
        <v>0</v>
      </c>
      <c r="S25" s="12" t="b">
        <v>0</v>
      </c>
      <c r="T25" s="12" t="b">
        <v>0</v>
      </c>
      <c r="U25" s="12" t="b">
        <v>0</v>
      </c>
      <c r="V25" s="12" t="b">
        <v>0</v>
      </c>
      <c r="W25" s="12" t="b">
        <v>0</v>
      </c>
      <c r="X25" s="12" t="b">
        <v>0</v>
      </c>
      <c r="Y25" s="12" t="b">
        <v>0</v>
      </c>
      <c r="Z25" s="12" t="b">
        <v>0</v>
      </c>
      <c r="AA25" s="12" t="b">
        <v>0</v>
      </c>
      <c r="AB25" s="12" t="b">
        <v>0</v>
      </c>
      <c r="AC25" s="12" t="b">
        <v>0</v>
      </c>
      <c r="AD25" s="12" t="b">
        <v>0</v>
      </c>
      <c r="AE25" s="12" t="b">
        <v>0</v>
      </c>
      <c r="AF25" s="12" t="b">
        <v>0</v>
      </c>
      <c r="AG25" s="12" t="b">
        <v>0</v>
      </c>
      <c r="AH25" s="12" t="b">
        <v>0</v>
      </c>
      <c r="AI25" s="12" t="b">
        <v>0</v>
      </c>
      <c r="AJ25" s="12" t="b">
        <v>0</v>
      </c>
      <c r="AK25" s="12" t="b">
        <v>0</v>
      </c>
      <c r="AL25" s="12" t="b">
        <v>0</v>
      </c>
      <c r="AM25" s="12" t="b">
        <v>0</v>
      </c>
      <c r="AN25" s="12" t="b">
        <v>0</v>
      </c>
      <c r="AO25" s="12" t="b">
        <v>0</v>
      </c>
      <c r="AP25" s="12" t="b">
        <v>0</v>
      </c>
      <c r="AQ25" s="12" t="b">
        <v>0</v>
      </c>
      <c r="AR25" s="12" t="b">
        <v>0</v>
      </c>
      <c r="AS25" s="12" t="b">
        <v>0</v>
      </c>
      <c r="AT25" s="12" t="b">
        <v>0</v>
      </c>
      <c r="AU25" s="12" t="b">
        <v>0</v>
      </c>
      <c r="AV25" s="12" t="b">
        <v>0</v>
      </c>
      <c r="AW25" s="12" t="b">
        <v>0</v>
      </c>
      <c r="AX25" s="12" t="b">
        <v>0</v>
      </c>
      <c r="AY25" s="12" t="b">
        <v>0</v>
      </c>
      <c r="AZ25" s="12" t="b">
        <v>0</v>
      </c>
      <c r="BA25" s="12" t="b">
        <v>0</v>
      </c>
      <c r="BB25" s="12" t="b">
        <v>0</v>
      </c>
      <c r="BC25" s="12" t="b">
        <v>0</v>
      </c>
    </row>
    <row r="26" spans="2:55" ht="16" x14ac:dyDescent="0.2">
      <c r="B26" s="11" t="s">
        <v>129</v>
      </c>
      <c r="C26" s="12" t="b">
        <v>0</v>
      </c>
      <c r="D26" s="12" t="b">
        <v>0</v>
      </c>
      <c r="E26" s="12" t="b">
        <v>0</v>
      </c>
      <c r="F26" s="12" t="b">
        <v>0</v>
      </c>
      <c r="G26" s="12" t="b">
        <v>0</v>
      </c>
      <c r="H26" s="12" t="b">
        <v>0</v>
      </c>
      <c r="I26" s="12" t="b">
        <v>0</v>
      </c>
      <c r="J26" s="12" t="b">
        <v>0</v>
      </c>
      <c r="K26" s="12" t="b">
        <v>0</v>
      </c>
      <c r="L26" s="12" t="b">
        <v>0</v>
      </c>
      <c r="M26" s="12" t="b">
        <v>0</v>
      </c>
      <c r="N26" s="12" t="b">
        <v>0</v>
      </c>
      <c r="O26" s="12" t="b">
        <v>0</v>
      </c>
      <c r="P26" s="12" t="b">
        <v>0</v>
      </c>
      <c r="Q26" s="12" t="b">
        <v>0</v>
      </c>
      <c r="R26" s="12" t="b">
        <v>0</v>
      </c>
      <c r="S26" s="12" t="b">
        <v>0</v>
      </c>
      <c r="T26" s="12" t="b">
        <v>0</v>
      </c>
      <c r="U26" s="12" t="b">
        <v>0</v>
      </c>
      <c r="V26" s="12" t="b">
        <v>0</v>
      </c>
      <c r="W26" s="12" t="b">
        <v>0</v>
      </c>
      <c r="X26" s="12" t="b">
        <v>0</v>
      </c>
      <c r="Y26" s="12" t="b">
        <v>0</v>
      </c>
      <c r="Z26" s="12" t="b">
        <v>0</v>
      </c>
      <c r="AA26" s="12" t="b">
        <v>0</v>
      </c>
      <c r="AB26" s="12" t="b">
        <v>0</v>
      </c>
      <c r="AC26" s="12" t="b">
        <v>0</v>
      </c>
      <c r="AD26" s="12" t="b">
        <v>0</v>
      </c>
      <c r="AE26" s="12" t="b">
        <v>0</v>
      </c>
      <c r="AF26" s="12" t="b">
        <v>0</v>
      </c>
      <c r="AG26" s="12" t="b">
        <v>0</v>
      </c>
      <c r="AH26" s="12" t="b">
        <v>0</v>
      </c>
      <c r="AI26" s="12" t="b">
        <v>0</v>
      </c>
      <c r="AJ26" s="12" t="b">
        <v>0</v>
      </c>
      <c r="AK26" s="12" t="b">
        <v>0</v>
      </c>
      <c r="AL26" s="12" t="b">
        <v>0</v>
      </c>
      <c r="AM26" s="12" t="b">
        <v>0</v>
      </c>
      <c r="AN26" s="12" t="b">
        <v>0</v>
      </c>
      <c r="AO26" s="12" t="b">
        <v>0</v>
      </c>
      <c r="AP26" s="12" t="b">
        <v>0</v>
      </c>
      <c r="AQ26" s="12" t="b">
        <v>0</v>
      </c>
      <c r="AR26" s="12" t="b">
        <v>0</v>
      </c>
      <c r="AS26" s="12" t="b">
        <v>0</v>
      </c>
      <c r="AT26" s="12" t="b">
        <v>0</v>
      </c>
      <c r="AU26" s="12" t="b">
        <v>0</v>
      </c>
      <c r="AV26" s="12" t="b">
        <v>0</v>
      </c>
      <c r="AW26" s="12" t="b">
        <v>0</v>
      </c>
      <c r="AX26" s="12" t="b">
        <v>0</v>
      </c>
      <c r="AY26" s="12" t="b">
        <v>0</v>
      </c>
      <c r="AZ26" s="12" t="b">
        <v>0</v>
      </c>
      <c r="BA26" s="12" t="b">
        <v>0</v>
      </c>
      <c r="BB26" s="12" t="b">
        <v>0</v>
      </c>
      <c r="BC26" s="12" t="b">
        <v>0</v>
      </c>
    </row>
  </sheetData>
  <dataValidations count="2">
    <dataValidation type="list" allowBlank="1" showInputMessage="1" showErrorMessage="1" sqref="C6:BC9" xr:uid="{35898E1F-F137-564C-881B-1FBFAF07E702}">
      <formula1>"Yes, No"</formula1>
    </dataValidation>
    <dataValidation type="list" allowBlank="1" showInputMessage="1" showErrorMessage="1" sqref="C5:BC5" xr:uid="{DA6EDAEC-FFF5-E043-965B-026C1E269786}">
      <formula1>"Normal, Hearing Loss"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DECE-4E72-A246-9FAB-37C33275AC29}">
  <dimension ref="A1:R62"/>
  <sheetViews>
    <sheetView zoomScale="70" zoomScaleNormal="70" workbookViewId="0">
      <pane xSplit="1" topLeftCell="B1" activePane="topRight" state="frozen"/>
      <selection pane="topRight" activeCell="I39" sqref="I39"/>
    </sheetView>
  </sheetViews>
  <sheetFormatPr baseColWidth="10" defaultColWidth="11" defaultRowHeight="16" x14ac:dyDescent="0.2"/>
  <cols>
    <col min="5" max="5" width="14.83203125" customWidth="1"/>
    <col min="7" max="7" width="12" customWidth="1"/>
    <col min="9" max="9" width="17.83203125" customWidth="1"/>
    <col min="10" max="10" width="26.1640625" customWidth="1"/>
    <col min="12" max="12" width="22.33203125" customWidth="1"/>
    <col min="13" max="13" width="20.83203125" customWidth="1"/>
    <col min="14" max="14" width="44.1640625" customWidth="1"/>
    <col min="15" max="15" width="50.83203125" customWidth="1"/>
    <col min="16" max="16" width="14" customWidth="1"/>
    <col min="17" max="17" width="48.6640625" customWidth="1"/>
    <col min="18" max="18" width="21.5" customWidth="1"/>
  </cols>
  <sheetData>
    <row r="1" spans="1:18" x14ac:dyDescent="0.2">
      <c r="E1" s="99" t="s">
        <v>164</v>
      </c>
      <c r="G1" s="46" t="s">
        <v>165</v>
      </c>
      <c r="I1" s="425" t="s">
        <v>166</v>
      </c>
      <c r="J1" s="425"/>
      <c r="L1" s="426" t="s">
        <v>167</v>
      </c>
      <c r="M1" s="426"/>
      <c r="O1" s="235" t="s">
        <v>168</v>
      </c>
    </row>
    <row r="3" spans="1:18" x14ac:dyDescent="0.2">
      <c r="A3" s="20" t="s">
        <v>82</v>
      </c>
      <c r="B3" s="1" t="s">
        <v>108</v>
      </c>
      <c r="C3" s="1" t="s">
        <v>169</v>
      </c>
      <c r="D3" s="1" t="s">
        <v>250</v>
      </c>
      <c r="E3" s="1" t="s">
        <v>55</v>
      </c>
      <c r="F3" s="20" t="s">
        <v>170</v>
      </c>
      <c r="G3" s="20" t="s">
        <v>171</v>
      </c>
      <c r="H3" s="20" t="s">
        <v>172</v>
      </c>
      <c r="I3" s="20" t="s">
        <v>173</v>
      </c>
      <c r="J3" s="20" t="s">
        <v>174</v>
      </c>
      <c r="K3" s="20" t="s">
        <v>175</v>
      </c>
      <c r="L3" s="20" t="s">
        <v>176</v>
      </c>
      <c r="M3" s="20" t="s">
        <v>177</v>
      </c>
      <c r="N3" s="20" t="s">
        <v>178</v>
      </c>
      <c r="O3" s="20" t="s">
        <v>179</v>
      </c>
      <c r="P3" s="20" t="s">
        <v>180</v>
      </c>
      <c r="Q3" s="20" t="s">
        <v>181</v>
      </c>
      <c r="R3" s="20" t="s">
        <v>182</v>
      </c>
    </row>
    <row r="4" spans="1:18" x14ac:dyDescent="0.2">
      <c r="A4" s="219" t="s">
        <v>56</v>
      </c>
      <c r="B4" s="220">
        <v>822866</v>
      </c>
      <c r="C4" s="220">
        <v>323706</v>
      </c>
      <c r="D4" s="220"/>
      <c r="E4" s="220" t="s">
        <v>56</v>
      </c>
      <c r="F4" s="221">
        <f>DATE(2025,4,18)</f>
        <v>45765</v>
      </c>
      <c r="G4" s="221">
        <f>DATE(1995,5,28)</f>
        <v>34847</v>
      </c>
      <c r="H4" s="232">
        <f>INT((F4)-G4)/365</f>
        <v>29.912328767123288</v>
      </c>
      <c r="I4" s="220" t="s">
        <v>183</v>
      </c>
      <c r="J4" s="220" t="s">
        <v>184</v>
      </c>
      <c r="K4" s="296" t="s">
        <v>41</v>
      </c>
      <c r="L4" s="296" t="s">
        <v>41</v>
      </c>
      <c r="M4" s="296" t="s">
        <v>46</v>
      </c>
      <c r="N4" s="296" t="s">
        <v>41</v>
      </c>
      <c r="O4" s="296" t="s">
        <v>41</v>
      </c>
      <c r="P4" s="296" t="s">
        <v>41</v>
      </c>
      <c r="Q4" s="297" t="s">
        <v>41</v>
      </c>
      <c r="R4" s="236"/>
    </row>
    <row r="5" spans="1:18" x14ac:dyDescent="0.2">
      <c r="A5" s="212" t="s">
        <v>83</v>
      </c>
      <c r="B5" s="203">
        <v>81795</v>
      </c>
      <c r="C5" s="203"/>
      <c r="D5" s="203"/>
      <c r="E5" s="203" t="s">
        <v>57</v>
      </c>
      <c r="F5" s="211">
        <f>DATE(2025,6,17)</f>
        <v>45825</v>
      </c>
      <c r="G5" s="211">
        <f>DATE(2002,1,18)</f>
        <v>37274</v>
      </c>
      <c r="H5" s="233">
        <f t="shared" ref="H5:H56" si="0">INT((F5)-G5)/365</f>
        <v>23.427397260273974</v>
      </c>
      <c r="I5" s="203" t="s">
        <v>185</v>
      </c>
      <c r="J5" s="207"/>
      <c r="K5" s="207"/>
      <c r="L5" s="207"/>
      <c r="M5" s="207"/>
      <c r="N5" s="207"/>
      <c r="O5" s="207"/>
      <c r="P5" s="207"/>
      <c r="Q5" s="216"/>
      <c r="R5" s="237"/>
    </row>
    <row r="6" spans="1:18" x14ac:dyDescent="0.2">
      <c r="A6" s="212" t="s">
        <v>84</v>
      </c>
      <c r="B6" s="214">
        <v>198651</v>
      </c>
      <c r="C6" s="203">
        <v>797337</v>
      </c>
      <c r="D6" s="203"/>
      <c r="E6" s="203" t="s">
        <v>58</v>
      </c>
      <c r="F6" s="211">
        <f>DATE(2025,4,17)</f>
        <v>45764</v>
      </c>
      <c r="G6" s="211">
        <f>DATE(2001,12,17)</f>
        <v>37242</v>
      </c>
      <c r="H6" s="233">
        <f t="shared" si="0"/>
        <v>23.347945205479451</v>
      </c>
      <c r="I6" s="203" t="s">
        <v>183</v>
      </c>
      <c r="J6" s="293" t="s">
        <v>186</v>
      </c>
      <c r="K6" s="293" t="s">
        <v>41</v>
      </c>
      <c r="L6" s="293" t="s">
        <v>46</v>
      </c>
      <c r="M6" s="293" t="s">
        <v>187</v>
      </c>
      <c r="N6" s="293" t="s">
        <v>41</v>
      </c>
      <c r="O6" s="293" t="s">
        <v>188</v>
      </c>
      <c r="P6" s="293" t="s">
        <v>189</v>
      </c>
      <c r="Q6" s="294" t="s">
        <v>190</v>
      </c>
      <c r="R6" s="237"/>
    </row>
    <row r="7" spans="1:18" x14ac:dyDescent="0.2">
      <c r="A7" s="212" t="s">
        <v>85</v>
      </c>
      <c r="B7" s="214">
        <v>404953</v>
      </c>
      <c r="C7" s="203">
        <v>767328</v>
      </c>
      <c r="D7" s="203"/>
      <c r="E7" s="203" t="s">
        <v>59</v>
      </c>
      <c r="F7" s="211">
        <f>DATE(2025,4,23)</f>
        <v>45770</v>
      </c>
      <c r="G7" s="211">
        <f>DATE(1982,3,15)</f>
        <v>30025</v>
      </c>
      <c r="H7" s="233">
        <f t="shared" si="0"/>
        <v>43.136986301369866</v>
      </c>
      <c r="I7" s="203" t="s">
        <v>183</v>
      </c>
      <c r="J7" s="207"/>
      <c r="K7" s="207"/>
      <c r="L7" s="207"/>
      <c r="M7" s="207"/>
      <c r="N7" s="207"/>
      <c r="O7" s="207"/>
      <c r="P7" s="207"/>
      <c r="Q7" s="216"/>
      <c r="R7" s="237"/>
    </row>
    <row r="8" spans="1:18" x14ac:dyDescent="0.2">
      <c r="A8" s="212" t="s">
        <v>86</v>
      </c>
      <c r="B8" s="203">
        <v>638390</v>
      </c>
      <c r="C8" s="203"/>
      <c r="D8" s="203"/>
      <c r="E8" s="203" t="s">
        <v>60</v>
      </c>
      <c r="F8" s="211">
        <f>DATE(2025,4,19)</f>
        <v>45766</v>
      </c>
      <c r="G8" s="211">
        <f>DATE(1994,1,2)</f>
        <v>34336</v>
      </c>
      <c r="H8" s="233">
        <f t="shared" si="0"/>
        <v>31.315068493150687</v>
      </c>
      <c r="I8" s="203" t="s">
        <v>183</v>
      </c>
      <c r="J8" s="293" t="s">
        <v>186</v>
      </c>
      <c r="K8" s="293" t="s">
        <v>41</v>
      </c>
      <c r="L8" s="293" t="s">
        <v>41</v>
      </c>
      <c r="M8" s="293" t="s">
        <v>191</v>
      </c>
      <c r="N8" s="293" t="s">
        <v>192</v>
      </c>
      <c r="O8" s="293" t="s">
        <v>193</v>
      </c>
      <c r="P8" s="293" t="s">
        <v>41</v>
      </c>
      <c r="Q8" s="294" t="s">
        <v>41</v>
      </c>
      <c r="R8" s="237"/>
    </row>
    <row r="9" spans="1:18" x14ac:dyDescent="0.2">
      <c r="A9" s="212" t="s">
        <v>87</v>
      </c>
      <c r="B9" s="203">
        <v>680171</v>
      </c>
      <c r="C9" s="203"/>
      <c r="D9" s="203"/>
      <c r="E9" s="203" t="s">
        <v>61</v>
      </c>
      <c r="F9" s="211">
        <f>DATE(2025,6,20)</f>
        <v>45828</v>
      </c>
      <c r="G9" s="211">
        <f>DATE(1958,5,4)</f>
        <v>21309</v>
      </c>
      <c r="H9" s="233">
        <f t="shared" si="0"/>
        <v>67.175342465753431</v>
      </c>
      <c r="I9" s="203" t="s">
        <v>183</v>
      </c>
      <c r="J9" s="203" t="s">
        <v>184</v>
      </c>
      <c r="K9" s="293" t="s">
        <v>41</v>
      </c>
      <c r="L9" s="293" t="s">
        <v>41</v>
      </c>
      <c r="M9" s="293" t="s">
        <v>41</v>
      </c>
      <c r="N9" s="293" t="s">
        <v>41</v>
      </c>
      <c r="O9" s="293" t="s">
        <v>41</v>
      </c>
      <c r="P9" s="293" t="s">
        <v>41</v>
      </c>
      <c r="Q9" s="294" t="s">
        <v>41</v>
      </c>
      <c r="R9" s="237"/>
    </row>
    <row r="10" spans="1:18" x14ac:dyDescent="0.2">
      <c r="A10" s="212" t="s">
        <v>88</v>
      </c>
      <c r="B10" s="203">
        <v>446052</v>
      </c>
      <c r="C10" s="203"/>
      <c r="D10" s="203"/>
      <c r="E10" s="203" t="s">
        <v>62</v>
      </c>
      <c r="F10" s="211">
        <f>DATE(2025,7,15)</f>
        <v>45853</v>
      </c>
      <c r="G10" s="211">
        <f>DATE(1995,6,23)</f>
        <v>34873</v>
      </c>
      <c r="H10" s="233">
        <f t="shared" si="0"/>
        <v>30.082191780821919</v>
      </c>
      <c r="I10" s="203" t="s">
        <v>185</v>
      </c>
      <c r="J10" s="203" t="s">
        <v>194</v>
      </c>
      <c r="K10" s="207"/>
      <c r="L10" s="207"/>
      <c r="M10" s="207"/>
      <c r="N10" s="207"/>
      <c r="O10" s="207"/>
      <c r="P10" s="207"/>
      <c r="Q10" s="216"/>
      <c r="R10" s="237"/>
    </row>
    <row r="11" spans="1:18" x14ac:dyDescent="0.2">
      <c r="A11" s="212" t="s">
        <v>89</v>
      </c>
      <c r="B11" s="203">
        <v>594544</v>
      </c>
      <c r="C11" s="203"/>
      <c r="D11" s="203"/>
      <c r="E11" s="203" t="s">
        <v>63</v>
      </c>
      <c r="F11" s="211">
        <f>DATE(2025,7,10)</f>
        <v>45848</v>
      </c>
      <c r="G11" s="211">
        <f>DATE(1998,10,28)</f>
        <v>36096</v>
      </c>
      <c r="H11" s="233">
        <f t="shared" si="0"/>
        <v>26.717808219178082</v>
      </c>
      <c r="I11" s="203" t="s">
        <v>185</v>
      </c>
      <c r="J11" s="203" t="s">
        <v>186</v>
      </c>
      <c r="K11" s="207"/>
      <c r="L11" s="207"/>
      <c r="M11" s="203" t="s">
        <v>41</v>
      </c>
      <c r="N11" s="207"/>
      <c r="O11" s="207"/>
      <c r="P11" s="203" t="s">
        <v>41</v>
      </c>
      <c r="Q11" s="217" t="s">
        <v>41</v>
      </c>
      <c r="R11" s="237"/>
    </row>
    <row r="12" spans="1:18" x14ac:dyDescent="0.2">
      <c r="A12" s="212" t="s">
        <v>90</v>
      </c>
      <c r="B12" s="203">
        <v>606716</v>
      </c>
      <c r="C12" s="203"/>
      <c r="D12" s="203"/>
      <c r="E12" s="203" t="s">
        <v>64</v>
      </c>
      <c r="F12" s="211">
        <f>DATE(2025,7,3)</f>
        <v>45841</v>
      </c>
      <c r="G12" s="211">
        <f>DATE(1999,8,22)</f>
        <v>36394</v>
      </c>
      <c r="H12" s="233">
        <f>INT((F12)-G12)/365</f>
        <v>25.882191780821916</v>
      </c>
      <c r="I12" s="203" t="s">
        <v>185</v>
      </c>
      <c r="J12" s="293" t="s">
        <v>186</v>
      </c>
      <c r="K12" s="293" t="s">
        <v>41</v>
      </c>
      <c r="L12" s="293" t="s">
        <v>195</v>
      </c>
      <c r="M12" s="293" t="s">
        <v>41</v>
      </c>
      <c r="N12" s="293" t="s">
        <v>41</v>
      </c>
      <c r="O12" s="293" t="s">
        <v>41</v>
      </c>
      <c r="P12" s="293" t="s">
        <v>41</v>
      </c>
      <c r="Q12" s="294" t="s">
        <v>41</v>
      </c>
      <c r="R12" s="237"/>
    </row>
    <row r="13" spans="1:18" x14ac:dyDescent="0.2">
      <c r="A13" s="212" t="s">
        <v>91</v>
      </c>
      <c r="B13" s="203">
        <v>364837</v>
      </c>
      <c r="C13" s="203"/>
      <c r="D13" s="203"/>
      <c r="E13" s="203" t="s">
        <v>65</v>
      </c>
      <c r="F13" s="211">
        <f>DATE(2025,7,14)</f>
        <v>45852</v>
      </c>
      <c r="G13" s="211">
        <f>DATE(2003,8,18)</f>
        <v>37851</v>
      </c>
      <c r="H13" s="233">
        <f t="shared" si="0"/>
        <v>21.920547945205481</v>
      </c>
      <c r="I13" s="203" t="s">
        <v>185</v>
      </c>
      <c r="J13" s="203" t="s">
        <v>186</v>
      </c>
      <c r="K13" s="203" t="s">
        <v>41</v>
      </c>
      <c r="L13" s="203" t="s">
        <v>196</v>
      </c>
      <c r="M13" s="203" t="s">
        <v>41</v>
      </c>
      <c r="N13" s="203" t="s">
        <v>197</v>
      </c>
      <c r="O13" s="203" t="s">
        <v>41</v>
      </c>
      <c r="P13" s="203" t="s">
        <v>41</v>
      </c>
      <c r="Q13" s="217" t="s">
        <v>41</v>
      </c>
      <c r="R13" s="237"/>
    </row>
    <row r="14" spans="1:18" x14ac:dyDescent="0.2">
      <c r="A14" s="212" t="s">
        <v>92</v>
      </c>
      <c r="B14" s="203">
        <v>240600</v>
      </c>
      <c r="C14" s="203"/>
      <c r="D14" s="203"/>
      <c r="E14" s="203" t="s">
        <v>66</v>
      </c>
      <c r="F14" s="211">
        <f>DATE(2025,7,21)</f>
        <v>45859</v>
      </c>
      <c r="G14" s="211">
        <f>DATE(1962,8,12)</f>
        <v>22870</v>
      </c>
      <c r="H14" s="233">
        <f t="shared" si="0"/>
        <v>62.983561643835614</v>
      </c>
      <c r="I14" s="203" t="s">
        <v>185</v>
      </c>
      <c r="J14" s="293" t="s">
        <v>186</v>
      </c>
      <c r="K14" s="293" t="s">
        <v>41</v>
      </c>
      <c r="L14" s="293" t="s">
        <v>41</v>
      </c>
      <c r="M14" s="293" t="s">
        <v>41</v>
      </c>
      <c r="N14" s="293" t="s">
        <v>41</v>
      </c>
      <c r="O14" s="293" t="s">
        <v>41</v>
      </c>
      <c r="P14" s="293" t="s">
        <v>198</v>
      </c>
      <c r="Q14" s="294" t="s">
        <v>199</v>
      </c>
      <c r="R14" s="237"/>
    </row>
    <row r="15" spans="1:18" x14ac:dyDescent="0.2">
      <c r="A15" s="215" t="s">
        <v>93</v>
      </c>
      <c r="B15" s="203">
        <v>905742</v>
      </c>
      <c r="C15" s="203"/>
      <c r="D15" s="203"/>
      <c r="E15" s="203" t="s">
        <v>67</v>
      </c>
      <c r="F15" s="211">
        <f>DATE(2025,7,24)</f>
        <v>45862</v>
      </c>
      <c r="G15" s="211">
        <f>DATE(1990,6,7)</f>
        <v>33031</v>
      </c>
      <c r="H15" s="233">
        <f t="shared" si="0"/>
        <v>35.153424657534245</v>
      </c>
      <c r="I15" s="203" t="s">
        <v>183</v>
      </c>
      <c r="J15" s="203" t="s">
        <v>186</v>
      </c>
      <c r="K15" s="203" t="s">
        <v>41</v>
      </c>
      <c r="L15" s="203" t="s">
        <v>41</v>
      </c>
      <c r="M15" s="203" t="s">
        <v>41</v>
      </c>
      <c r="N15" s="203" t="s">
        <v>41</v>
      </c>
      <c r="O15" s="203" t="s">
        <v>200</v>
      </c>
      <c r="P15" s="203" t="s">
        <v>41</v>
      </c>
      <c r="Q15" s="217" t="s">
        <v>41</v>
      </c>
      <c r="R15" s="237"/>
    </row>
    <row r="16" spans="1:18" x14ac:dyDescent="0.2">
      <c r="A16" s="212" t="s">
        <v>94</v>
      </c>
      <c r="B16" s="203">
        <v>187767</v>
      </c>
      <c r="C16" s="203"/>
      <c r="D16" s="203"/>
      <c r="E16" s="203" t="s">
        <v>68</v>
      </c>
      <c r="F16" s="211">
        <f>DATE(2025,8,5)</f>
        <v>45874</v>
      </c>
      <c r="G16" s="211">
        <f>DATE(1998,3,7)</f>
        <v>35861</v>
      </c>
      <c r="H16" s="233">
        <f t="shared" si="0"/>
        <v>27.432876712328767</v>
      </c>
      <c r="I16" s="203" t="s">
        <v>185</v>
      </c>
      <c r="J16" s="203" t="s">
        <v>194</v>
      </c>
      <c r="K16" s="207"/>
      <c r="L16" s="207"/>
      <c r="M16" s="203" t="s">
        <v>41</v>
      </c>
      <c r="N16" s="203" t="s">
        <v>41</v>
      </c>
      <c r="O16" s="207"/>
      <c r="P16" s="203" t="s">
        <v>41</v>
      </c>
      <c r="Q16" s="217" t="s">
        <v>41</v>
      </c>
      <c r="R16" s="237"/>
    </row>
    <row r="17" spans="1:18" x14ac:dyDescent="0.2">
      <c r="A17" s="212" t="s">
        <v>95</v>
      </c>
      <c r="B17" s="203">
        <v>533201</v>
      </c>
      <c r="C17" s="203"/>
      <c r="D17" s="203"/>
      <c r="E17" s="203" t="s">
        <v>69</v>
      </c>
      <c r="F17" s="211">
        <f>DATE(2025,8,12)</f>
        <v>45881</v>
      </c>
      <c r="G17" s="211">
        <f>DATE(1970,8,9)</f>
        <v>25789</v>
      </c>
      <c r="H17" s="233">
        <f t="shared" si="0"/>
        <v>55.046575342465751</v>
      </c>
      <c r="I17" s="203" t="s">
        <v>185</v>
      </c>
      <c r="J17" s="203" t="s">
        <v>184</v>
      </c>
      <c r="K17" s="203" t="s">
        <v>41</v>
      </c>
      <c r="L17" s="203" t="s">
        <v>201</v>
      </c>
      <c r="M17" s="203" t="s">
        <v>41</v>
      </c>
      <c r="N17" s="203" t="s">
        <v>41</v>
      </c>
      <c r="O17" s="203" t="s">
        <v>41</v>
      </c>
      <c r="P17" s="203" t="s">
        <v>41</v>
      </c>
      <c r="Q17" s="217" t="s">
        <v>41</v>
      </c>
      <c r="R17" s="237"/>
    </row>
    <row r="18" spans="1:18" x14ac:dyDescent="0.2">
      <c r="A18" s="212" t="s">
        <v>96</v>
      </c>
      <c r="B18" s="203">
        <v>764333</v>
      </c>
      <c r="C18" s="203"/>
      <c r="D18" s="203"/>
      <c r="E18" s="203" t="s">
        <v>70</v>
      </c>
      <c r="F18" s="211">
        <f>DATE(2025,9,12)</f>
        <v>45912</v>
      </c>
      <c r="G18" s="211">
        <f>DATE(1997,6,11)</f>
        <v>35592</v>
      </c>
      <c r="H18" s="233">
        <f t="shared" si="0"/>
        <v>28.273972602739725</v>
      </c>
      <c r="I18" s="203" t="s">
        <v>185</v>
      </c>
      <c r="J18" s="213" t="s">
        <v>202</v>
      </c>
      <c r="K18" s="203" t="s">
        <v>203</v>
      </c>
      <c r="L18" s="203" t="s">
        <v>46</v>
      </c>
      <c r="M18" s="203" t="s">
        <v>41</v>
      </c>
      <c r="N18" s="203" t="s">
        <v>41</v>
      </c>
      <c r="O18" s="203" t="s">
        <v>46</v>
      </c>
      <c r="P18" s="203" t="s">
        <v>204</v>
      </c>
      <c r="Q18" s="217" t="s">
        <v>41</v>
      </c>
      <c r="R18" s="237"/>
    </row>
    <row r="19" spans="1:18" x14ac:dyDescent="0.2">
      <c r="A19" s="212" t="s">
        <v>97</v>
      </c>
      <c r="B19" s="203">
        <v>450504</v>
      </c>
      <c r="C19" s="203"/>
      <c r="D19" s="203"/>
      <c r="E19" s="203" t="s">
        <v>71</v>
      </c>
      <c r="F19" s="211">
        <f>DATE(2025,9,22)</f>
        <v>45922</v>
      </c>
      <c r="G19" s="211">
        <f>DATE(2002,10,24)</f>
        <v>37553</v>
      </c>
      <c r="H19" s="233">
        <f t="shared" si="0"/>
        <v>22.92876712328767</v>
      </c>
      <c r="I19" s="203" t="s">
        <v>183</v>
      </c>
      <c r="J19" s="203" t="s">
        <v>186</v>
      </c>
      <c r="K19" s="207"/>
      <c r="L19" s="207"/>
      <c r="M19" s="203" t="s">
        <v>41</v>
      </c>
      <c r="N19" s="203" t="s">
        <v>41</v>
      </c>
      <c r="O19" s="207"/>
      <c r="P19" s="203" t="s">
        <v>41</v>
      </c>
      <c r="Q19" s="217" t="s">
        <v>41</v>
      </c>
      <c r="R19" s="237"/>
    </row>
    <row r="20" spans="1:18" x14ac:dyDescent="0.2">
      <c r="A20" s="212" t="s">
        <v>98</v>
      </c>
      <c r="B20" s="203">
        <v>392487</v>
      </c>
      <c r="C20" s="203"/>
      <c r="D20" s="203"/>
      <c r="E20" s="203" t="s">
        <v>72</v>
      </c>
      <c r="F20" s="211">
        <f>DATE(2025,10,11)</f>
        <v>45941</v>
      </c>
      <c r="G20" s="211">
        <v>35751</v>
      </c>
      <c r="H20" s="233">
        <f>INT((F20)-G20)/365</f>
        <v>27.917808219178081</v>
      </c>
      <c r="I20" s="203" t="s">
        <v>183</v>
      </c>
      <c r="J20" s="203" t="s">
        <v>184</v>
      </c>
      <c r="K20" s="293" t="s">
        <v>41</v>
      </c>
      <c r="L20" s="293" t="s">
        <v>41</v>
      </c>
      <c r="M20" s="293" t="s">
        <v>41</v>
      </c>
      <c r="N20" s="293" t="s">
        <v>41</v>
      </c>
      <c r="O20" s="293" t="s">
        <v>41</v>
      </c>
      <c r="P20" s="203" t="s">
        <v>41</v>
      </c>
      <c r="Q20" s="217" t="s">
        <v>41</v>
      </c>
      <c r="R20" s="237"/>
    </row>
    <row r="21" spans="1:18" x14ac:dyDescent="0.2">
      <c r="A21" s="212" t="s">
        <v>99</v>
      </c>
      <c r="B21" s="203">
        <v>107811</v>
      </c>
      <c r="C21" s="203"/>
      <c r="D21" s="203"/>
      <c r="E21" s="203" t="s">
        <v>73</v>
      </c>
      <c r="F21" s="211">
        <f>DATE(2025,10,29)</f>
        <v>45959</v>
      </c>
      <c r="G21" s="211">
        <f>DATE(2006,12,6)</f>
        <v>39057</v>
      </c>
      <c r="H21" s="233">
        <f t="shared" si="0"/>
        <v>18.909589041095892</v>
      </c>
      <c r="I21" s="203" t="s">
        <v>185</v>
      </c>
      <c r="J21" s="203" t="s">
        <v>186</v>
      </c>
      <c r="K21" s="203" t="s">
        <v>41</v>
      </c>
      <c r="L21" s="203" t="s">
        <v>41</v>
      </c>
      <c r="M21" s="203" t="s">
        <v>41</v>
      </c>
      <c r="N21" s="203" t="s">
        <v>41</v>
      </c>
      <c r="O21" s="203" t="s">
        <v>41</v>
      </c>
      <c r="P21" s="203" t="s">
        <v>41</v>
      </c>
      <c r="Q21" s="217" t="s">
        <v>41</v>
      </c>
      <c r="R21" s="237"/>
    </row>
    <row r="22" spans="1:18" x14ac:dyDescent="0.2">
      <c r="A22" s="212" t="s">
        <v>100</v>
      </c>
      <c r="B22" s="203">
        <v>305363</v>
      </c>
      <c r="C22" s="203"/>
      <c r="D22" s="203"/>
      <c r="E22" s="203" t="s">
        <v>74</v>
      </c>
      <c r="F22" s="211">
        <f>DATE(2025,10,30)</f>
        <v>45960</v>
      </c>
      <c r="G22" s="211">
        <f>DATE(1952,9,5)</f>
        <v>19242</v>
      </c>
      <c r="H22" s="233">
        <f t="shared" si="0"/>
        <v>73.2</v>
      </c>
      <c r="I22" s="203" t="s">
        <v>183</v>
      </c>
      <c r="J22" s="203" t="s">
        <v>186</v>
      </c>
      <c r="K22" s="203" t="s">
        <v>41</v>
      </c>
      <c r="L22" s="203" t="s">
        <v>46</v>
      </c>
      <c r="M22" s="203" t="s">
        <v>41</v>
      </c>
      <c r="N22" s="203" t="s">
        <v>41</v>
      </c>
      <c r="O22" s="203" t="s">
        <v>205</v>
      </c>
      <c r="P22" s="203" t="s">
        <v>41</v>
      </c>
      <c r="Q22" s="218" t="s">
        <v>206</v>
      </c>
      <c r="R22" s="272" t="s">
        <v>46</v>
      </c>
    </row>
    <row r="23" spans="1:18" x14ac:dyDescent="0.2">
      <c r="A23" s="212" t="s">
        <v>101</v>
      </c>
      <c r="B23" s="203">
        <v>821340</v>
      </c>
      <c r="C23" s="203"/>
      <c r="D23" s="203"/>
      <c r="E23" s="203" t="s">
        <v>75</v>
      </c>
      <c r="F23" s="211">
        <f>DATE(2025,10,31)</f>
        <v>45961</v>
      </c>
      <c r="G23" s="211">
        <f>DATE(1956,6,20)</f>
        <v>20626</v>
      </c>
      <c r="H23" s="233">
        <f t="shared" si="0"/>
        <v>69.410958904109592</v>
      </c>
      <c r="I23" s="203" t="s">
        <v>183</v>
      </c>
      <c r="J23" s="203" t="s">
        <v>207</v>
      </c>
      <c r="K23" s="203" t="s">
        <v>41</v>
      </c>
      <c r="L23" s="203" t="s">
        <v>41</v>
      </c>
      <c r="M23" s="203" t="s">
        <v>41</v>
      </c>
      <c r="N23" s="203" t="s">
        <v>41</v>
      </c>
      <c r="O23" s="203" t="s">
        <v>41</v>
      </c>
      <c r="P23" s="203" t="s">
        <v>41</v>
      </c>
      <c r="Q23" s="217" t="s">
        <v>41</v>
      </c>
      <c r="R23" s="266" t="s">
        <v>46</v>
      </c>
    </row>
    <row r="24" spans="1:18" x14ac:dyDescent="0.2">
      <c r="A24" s="212" t="s">
        <v>102</v>
      </c>
      <c r="B24">
        <v>858247</v>
      </c>
      <c r="C24" s="203"/>
      <c r="D24" s="203"/>
      <c r="E24" s="203" t="s">
        <v>76</v>
      </c>
      <c r="F24" s="21">
        <f>DATE(2025,11,14)</f>
        <v>45975</v>
      </c>
      <c r="G24" s="211">
        <f>DATE(1958,1,23)</f>
        <v>21208</v>
      </c>
      <c r="H24" s="233">
        <f>INT((F24)-G24)/365</f>
        <v>67.854794520547941</v>
      </c>
      <c r="I24" s="203" t="s">
        <v>185</v>
      </c>
      <c r="J24" s="203" t="s">
        <v>186</v>
      </c>
      <c r="K24" s="203" t="s">
        <v>41</v>
      </c>
      <c r="L24" s="203" t="s">
        <v>46</v>
      </c>
      <c r="M24" s="203" t="s">
        <v>208</v>
      </c>
      <c r="N24" s="203" t="s">
        <v>41</v>
      </c>
      <c r="O24" s="203" t="s">
        <v>41</v>
      </c>
      <c r="P24" s="203" t="s">
        <v>41</v>
      </c>
      <c r="Q24" s="217" t="s">
        <v>41</v>
      </c>
      <c r="R24" s="237"/>
    </row>
    <row r="25" spans="1:18" x14ac:dyDescent="0.2">
      <c r="A25" s="212" t="s">
        <v>103</v>
      </c>
      <c r="B25">
        <v>454050</v>
      </c>
      <c r="C25" s="203"/>
      <c r="D25" s="203"/>
      <c r="E25" s="203" t="s">
        <v>77</v>
      </c>
      <c r="F25" s="21">
        <f>DATE(2025,11,17)</f>
        <v>45978</v>
      </c>
      <c r="G25" s="211">
        <f>DATE(1962,8,6)</f>
        <v>22864</v>
      </c>
      <c r="H25" s="233">
        <f t="shared" si="0"/>
        <v>63.326027397260276</v>
      </c>
      <c r="I25" s="203" t="s">
        <v>183</v>
      </c>
      <c r="J25" s="203" t="s">
        <v>186</v>
      </c>
      <c r="K25" s="203" t="s">
        <v>41</v>
      </c>
      <c r="L25" s="203" t="s">
        <v>41</v>
      </c>
      <c r="M25" s="203" t="s">
        <v>41</v>
      </c>
      <c r="N25" s="203" t="s">
        <v>41</v>
      </c>
      <c r="O25" s="203" t="s">
        <v>41</v>
      </c>
      <c r="P25" s="203" t="s">
        <v>41</v>
      </c>
      <c r="Q25" s="203" t="s">
        <v>41</v>
      </c>
      <c r="R25" s="237"/>
    </row>
    <row r="26" spans="1:18" x14ac:dyDescent="0.2">
      <c r="A26" s="212" t="s">
        <v>104</v>
      </c>
      <c r="B26">
        <v>888989</v>
      </c>
      <c r="C26" s="203"/>
      <c r="D26" s="203"/>
      <c r="E26" s="203" t="s">
        <v>78</v>
      </c>
      <c r="F26" s="21">
        <v>46001</v>
      </c>
      <c r="G26" s="211">
        <v>22382</v>
      </c>
      <c r="H26" s="233">
        <f t="shared" si="0"/>
        <v>64.709589041095896</v>
      </c>
      <c r="I26" s="203" t="s">
        <v>185</v>
      </c>
      <c r="J26" s="203" t="s">
        <v>186</v>
      </c>
      <c r="K26" s="203" t="s">
        <v>41</v>
      </c>
      <c r="L26" s="203" t="s">
        <v>41</v>
      </c>
      <c r="M26" s="203" t="s">
        <v>41</v>
      </c>
      <c r="N26" s="203" t="s">
        <v>209</v>
      </c>
      <c r="O26" s="203" t="s">
        <v>41</v>
      </c>
      <c r="P26" s="203" t="s">
        <v>41</v>
      </c>
      <c r="Q26" s="217" t="s">
        <v>41</v>
      </c>
      <c r="R26" s="237"/>
    </row>
    <row r="27" spans="1:18" x14ac:dyDescent="0.2">
      <c r="A27" s="212" t="s">
        <v>105</v>
      </c>
      <c r="B27">
        <v>131577</v>
      </c>
      <c r="C27" s="203"/>
      <c r="D27" s="203"/>
      <c r="E27" s="203" t="s">
        <v>79</v>
      </c>
      <c r="F27" s="21">
        <f>DATE(2025,12,5)</f>
        <v>45996</v>
      </c>
      <c r="G27" s="211">
        <f>DATE(2005,8,25)</f>
        <v>38589</v>
      </c>
      <c r="H27" s="233">
        <f t="shared" si="0"/>
        <v>20.293150684931508</v>
      </c>
      <c r="I27" s="203" t="s">
        <v>183</v>
      </c>
      <c r="J27" s="293" t="s">
        <v>194</v>
      </c>
      <c r="K27" s="293" t="s">
        <v>41</v>
      </c>
      <c r="L27" s="293" t="s">
        <v>41</v>
      </c>
      <c r="M27" s="293" t="s">
        <v>41</v>
      </c>
      <c r="N27" s="293" t="s">
        <v>210</v>
      </c>
      <c r="O27" s="293" t="s">
        <v>41</v>
      </c>
      <c r="P27" s="293" t="s">
        <v>41</v>
      </c>
      <c r="Q27" s="294" t="s">
        <v>211</v>
      </c>
      <c r="R27" s="237"/>
    </row>
    <row r="28" spans="1:18" x14ac:dyDescent="0.2">
      <c r="A28" s="212" t="s">
        <v>106</v>
      </c>
      <c r="B28">
        <v>830521</v>
      </c>
      <c r="C28" s="203"/>
      <c r="E28" t="s">
        <v>80</v>
      </c>
      <c r="F28" s="21">
        <v>46055</v>
      </c>
      <c r="G28" s="21">
        <v>27174</v>
      </c>
      <c r="H28" s="233">
        <f t="shared" si="0"/>
        <v>51.728767123287675</v>
      </c>
      <c r="I28" t="s">
        <v>183</v>
      </c>
      <c r="J28" t="s">
        <v>186</v>
      </c>
      <c r="K28" s="203" t="s">
        <v>41</v>
      </c>
      <c r="L28" s="203" t="s">
        <v>41</v>
      </c>
      <c r="M28" s="203" t="s">
        <v>41</v>
      </c>
      <c r="N28" s="203" t="s">
        <v>212</v>
      </c>
      <c r="O28" s="203" t="s">
        <v>41</v>
      </c>
      <c r="P28" s="203" t="s">
        <v>41</v>
      </c>
      <c r="Q28" s="217" t="s">
        <v>41</v>
      </c>
      <c r="R28" s="237"/>
    </row>
    <row r="29" spans="1:18" x14ac:dyDescent="0.2">
      <c r="A29" s="212" t="s">
        <v>107</v>
      </c>
      <c r="B29">
        <v>927692</v>
      </c>
      <c r="C29" s="203"/>
      <c r="E29" t="s">
        <v>81</v>
      </c>
      <c r="F29" s="21">
        <v>46091</v>
      </c>
      <c r="G29" s="21">
        <v>22944</v>
      </c>
      <c r="H29" s="233">
        <f t="shared" si="0"/>
        <v>63.416438356164385</v>
      </c>
      <c r="I29" t="s">
        <v>183</v>
      </c>
      <c r="J29" t="s">
        <v>186</v>
      </c>
      <c r="K29" s="203" t="s">
        <v>41</v>
      </c>
      <c r="L29" s="203" t="s">
        <v>201</v>
      </c>
      <c r="M29" s="203" t="s">
        <v>41</v>
      </c>
      <c r="N29" s="203" t="s">
        <v>213</v>
      </c>
      <c r="O29" s="203" t="s">
        <v>214</v>
      </c>
      <c r="P29" s="203" t="s">
        <v>41</v>
      </c>
      <c r="Q29" s="217" t="s">
        <v>215</v>
      </c>
      <c r="R29" s="237"/>
    </row>
    <row r="30" spans="1:18" x14ac:dyDescent="0.2">
      <c r="A30" s="212" t="s">
        <v>646</v>
      </c>
      <c r="B30">
        <v>487437</v>
      </c>
      <c r="C30" s="203"/>
      <c r="E30" t="s">
        <v>645</v>
      </c>
      <c r="F30" s="21">
        <v>46238</v>
      </c>
      <c r="G30" s="21">
        <f>DATE(1956,7,17)</f>
        <v>20653</v>
      </c>
      <c r="H30" s="233">
        <f t="shared" si="0"/>
        <v>70.095890410958901</v>
      </c>
      <c r="I30" t="s">
        <v>183</v>
      </c>
      <c r="J30" t="s">
        <v>186</v>
      </c>
      <c r="K30" t="s">
        <v>41</v>
      </c>
      <c r="L30" t="s">
        <v>41</v>
      </c>
      <c r="M30" t="s">
        <v>41</v>
      </c>
      <c r="N30" t="s">
        <v>41</v>
      </c>
      <c r="O30" t="s">
        <v>41</v>
      </c>
      <c r="P30" t="s">
        <v>41</v>
      </c>
      <c r="Q30" t="s">
        <v>41</v>
      </c>
      <c r="R30" s="237"/>
    </row>
    <row r="31" spans="1:18" x14ac:dyDescent="0.2">
      <c r="A31" s="212" t="s">
        <v>301</v>
      </c>
      <c r="B31" s="103">
        <v>62787</v>
      </c>
      <c r="C31" s="203"/>
      <c r="E31" t="s">
        <v>302</v>
      </c>
      <c r="F31" s="21">
        <v>46174</v>
      </c>
      <c r="G31" s="21">
        <v>18532</v>
      </c>
      <c r="H31" s="233">
        <f t="shared" si="0"/>
        <v>75.731506849315068</v>
      </c>
      <c r="I31" t="s">
        <v>185</v>
      </c>
      <c r="J31" t="s">
        <v>186</v>
      </c>
      <c r="K31" t="s">
        <v>41</v>
      </c>
      <c r="L31" t="s">
        <v>41</v>
      </c>
      <c r="M31" t="s">
        <v>41</v>
      </c>
      <c r="N31" t="s">
        <v>41</v>
      </c>
      <c r="O31" t="s">
        <v>41</v>
      </c>
      <c r="P31" t="s">
        <v>41</v>
      </c>
      <c r="Q31" t="s">
        <v>41</v>
      </c>
      <c r="R31" s="237"/>
    </row>
    <row r="32" spans="1:18" x14ac:dyDescent="0.2">
      <c r="A32" s="212" t="s">
        <v>304</v>
      </c>
      <c r="B32" s="340">
        <v>386644</v>
      </c>
      <c r="C32" s="203"/>
      <c r="E32" t="s">
        <v>305</v>
      </c>
      <c r="F32" s="21">
        <v>46182</v>
      </c>
      <c r="G32" s="21">
        <v>30244</v>
      </c>
      <c r="H32" s="233">
        <f t="shared" si="0"/>
        <v>43.665753424657531</v>
      </c>
      <c r="I32" t="s">
        <v>185</v>
      </c>
      <c r="J32" t="s">
        <v>186</v>
      </c>
      <c r="K32" t="s">
        <v>654</v>
      </c>
      <c r="L32" t="s">
        <v>41</v>
      </c>
      <c r="M32" t="s">
        <v>41</v>
      </c>
      <c r="N32" t="s">
        <v>41</v>
      </c>
      <c r="O32" t="s">
        <v>655</v>
      </c>
      <c r="P32" t="s">
        <v>41</v>
      </c>
      <c r="Q32" t="s">
        <v>656</v>
      </c>
      <c r="R32" s="237"/>
    </row>
    <row r="33" spans="1:18" x14ac:dyDescent="0.2">
      <c r="A33" s="212" t="s">
        <v>216</v>
      </c>
      <c r="B33">
        <v>406051</v>
      </c>
      <c r="C33" s="203"/>
      <c r="E33" t="s">
        <v>217</v>
      </c>
      <c r="F33" s="21">
        <v>46196</v>
      </c>
      <c r="G33" s="411"/>
      <c r="H33" s="233">
        <f t="shared" si="0"/>
        <v>126.56438356164384</v>
      </c>
      <c r="I33" s="250"/>
      <c r="J33" s="250"/>
      <c r="K33" s="410"/>
      <c r="L33" s="410"/>
      <c r="M33" s="410"/>
      <c r="N33" s="410"/>
      <c r="O33" s="410"/>
      <c r="P33" s="410"/>
      <c r="Q33" s="412"/>
      <c r="R33" s="237"/>
    </row>
    <row r="34" spans="1:18" x14ac:dyDescent="0.2">
      <c r="A34" s="212" t="s">
        <v>669</v>
      </c>
      <c r="C34" s="203"/>
      <c r="E34" t="s">
        <v>668</v>
      </c>
      <c r="F34" s="21"/>
      <c r="G34" s="411"/>
      <c r="H34" s="233">
        <v>30</v>
      </c>
      <c r="I34" t="s">
        <v>185</v>
      </c>
      <c r="J34" t="s">
        <v>184</v>
      </c>
      <c r="K34" s="203" t="s">
        <v>41</v>
      </c>
      <c r="L34" s="203" t="s">
        <v>41</v>
      </c>
      <c r="M34" s="203" t="s">
        <v>41</v>
      </c>
      <c r="N34" s="203" t="s">
        <v>41</v>
      </c>
      <c r="O34" s="203" t="s">
        <v>41</v>
      </c>
      <c r="P34" s="203" t="s">
        <v>41</v>
      </c>
      <c r="Q34" s="203" t="s">
        <v>41</v>
      </c>
      <c r="R34" s="237"/>
    </row>
    <row r="35" spans="1:18" x14ac:dyDescent="0.2">
      <c r="A35" s="212" t="s">
        <v>649</v>
      </c>
      <c r="B35">
        <v>79273</v>
      </c>
      <c r="C35" s="203"/>
      <c r="E35" t="s">
        <v>648</v>
      </c>
      <c r="F35" s="21">
        <v>46253</v>
      </c>
      <c r="G35" s="411"/>
      <c r="H35" s="233">
        <f t="shared" si="0"/>
        <v>126.72054794520548</v>
      </c>
      <c r="I35" s="250"/>
      <c r="J35" s="250"/>
      <c r="K35" s="410"/>
      <c r="L35" s="410"/>
      <c r="M35" s="410"/>
      <c r="N35" s="410"/>
      <c r="O35" s="410"/>
      <c r="P35" s="410"/>
      <c r="Q35" s="412"/>
      <c r="R35" s="237"/>
    </row>
    <row r="36" spans="1:18" x14ac:dyDescent="0.2">
      <c r="A36" s="212" t="s">
        <v>651</v>
      </c>
      <c r="B36">
        <v>825407</v>
      </c>
      <c r="C36" s="203"/>
      <c r="E36" t="s">
        <v>650</v>
      </c>
      <c r="F36" s="21">
        <v>46254</v>
      </c>
      <c r="G36" s="411"/>
      <c r="H36" s="233">
        <f t="shared" si="0"/>
        <v>126.72328767123288</v>
      </c>
      <c r="I36" s="250"/>
      <c r="J36" s="250"/>
      <c r="K36" s="410"/>
      <c r="L36" s="410"/>
      <c r="M36" s="410"/>
      <c r="N36" s="410"/>
      <c r="O36" s="410"/>
      <c r="P36" s="410"/>
      <c r="Q36" s="412"/>
      <c r="R36" s="237"/>
    </row>
    <row r="37" spans="1:18" x14ac:dyDescent="0.2">
      <c r="A37" s="212" t="s">
        <v>658</v>
      </c>
      <c r="B37">
        <v>143771</v>
      </c>
      <c r="C37" s="203"/>
      <c r="E37" t="s">
        <v>657</v>
      </c>
      <c r="F37" s="21">
        <v>46259</v>
      </c>
      <c r="G37" s="21">
        <v>36595</v>
      </c>
      <c r="H37" s="233">
        <f t="shared" si="0"/>
        <v>26.476712328767125</v>
      </c>
      <c r="I37" t="s">
        <v>185</v>
      </c>
      <c r="J37" t="s">
        <v>186</v>
      </c>
      <c r="K37" s="203" t="s">
        <v>662</v>
      </c>
      <c r="L37" s="203" t="s">
        <v>663</v>
      </c>
      <c r="M37" s="203" t="s">
        <v>208</v>
      </c>
      <c r="N37" s="203" t="s">
        <v>41</v>
      </c>
      <c r="O37" s="203" t="s">
        <v>664</v>
      </c>
      <c r="P37" s="203" t="s">
        <v>41</v>
      </c>
      <c r="Q37" s="217" t="s">
        <v>41</v>
      </c>
      <c r="R37" s="272"/>
    </row>
    <row r="38" spans="1:18" x14ac:dyDescent="0.2">
      <c r="A38" s="212"/>
      <c r="C38" s="203"/>
      <c r="E38" t="s">
        <v>671</v>
      </c>
      <c r="F38" s="21">
        <v>46260</v>
      </c>
      <c r="G38" s="21"/>
      <c r="H38" s="233">
        <f t="shared" si="0"/>
        <v>126.73972602739725</v>
      </c>
      <c r="K38" s="203"/>
      <c r="L38" s="203"/>
      <c r="M38" s="203"/>
      <c r="N38" s="203"/>
      <c r="O38" s="203"/>
      <c r="P38" s="203"/>
      <c r="Q38" s="217"/>
      <c r="R38" s="272"/>
    </row>
    <row r="39" spans="1:18" x14ac:dyDescent="0.2">
      <c r="A39" s="212" t="s">
        <v>130</v>
      </c>
      <c r="B39" s="203">
        <v>617834</v>
      </c>
      <c r="C39" s="203"/>
      <c r="D39" s="203"/>
      <c r="E39" s="203" t="s">
        <v>218</v>
      </c>
      <c r="F39" s="211">
        <f>DATE(2025,2,27)</f>
        <v>45715</v>
      </c>
      <c r="G39" s="211">
        <f>DATE(2001,12,12)</f>
        <v>37237</v>
      </c>
      <c r="H39" s="233">
        <f t="shared" si="0"/>
        <v>23.227397260273971</v>
      </c>
      <c r="I39" s="203" t="s">
        <v>185</v>
      </c>
      <c r="J39" s="207"/>
      <c r="K39" s="207"/>
      <c r="L39" s="207"/>
      <c r="M39" s="207"/>
      <c r="N39" s="207"/>
      <c r="O39" s="207"/>
      <c r="P39" s="207"/>
      <c r="Q39" s="216"/>
      <c r="R39" s="237"/>
    </row>
    <row r="40" spans="1:18" x14ac:dyDescent="0.2">
      <c r="A40" s="212" t="s">
        <v>148</v>
      </c>
      <c r="B40" s="203">
        <v>991031</v>
      </c>
      <c r="C40" s="203"/>
      <c r="D40" s="203"/>
      <c r="E40" s="203" t="s">
        <v>131</v>
      </c>
      <c r="F40" s="211">
        <f>DATE(2025,2,28)</f>
        <v>45716</v>
      </c>
      <c r="G40" s="211">
        <f>DATE(1970,11,20)</f>
        <v>25892</v>
      </c>
      <c r="H40" s="233">
        <f t="shared" si="0"/>
        <v>54.31232876712329</v>
      </c>
      <c r="I40" s="203" t="s">
        <v>183</v>
      </c>
      <c r="J40" s="203" t="s">
        <v>184</v>
      </c>
      <c r="K40" s="207"/>
      <c r="L40" s="207"/>
      <c r="M40" s="207"/>
      <c r="N40" s="207"/>
      <c r="O40" s="207"/>
      <c r="P40" s="207"/>
      <c r="Q40" s="216"/>
      <c r="R40" s="237"/>
    </row>
    <row r="41" spans="1:18" x14ac:dyDescent="0.2">
      <c r="A41" s="212" t="s">
        <v>149</v>
      </c>
      <c r="B41" s="203">
        <v>129059</v>
      </c>
      <c r="C41" s="203"/>
      <c r="D41" s="203"/>
      <c r="E41" s="203" t="s">
        <v>132</v>
      </c>
      <c r="F41" s="211">
        <v>45720</v>
      </c>
      <c r="G41" s="211">
        <f>DATE(1991,8,16)</f>
        <v>33466</v>
      </c>
      <c r="H41" s="233">
        <f t="shared" si="0"/>
        <v>33.57260273972603</v>
      </c>
      <c r="I41" s="203" t="s">
        <v>183</v>
      </c>
      <c r="J41" s="203" t="s">
        <v>186</v>
      </c>
      <c r="K41" s="293" t="s">
        <v>41</v>
      </c>
      <c r="L41" s="293" t="s">
        <v>41</v>
      </c>
      <c r="M41" s="293" t="s">
        <v>41</v>
      </c>
      <c r="N41" s="293" t="s">
        <v>41</v>
      </c>
      <c r="O41" s="293" t="s">
        <v>41</v>
      </c>
      <c r="P41" s="293" t="s">
        <v>41</v>
      </c>
      <c r="Q41" s="294" t="s">
        <v>41</v>
      </c>
      <c r="R41" s="237"/>
    </row>
    <row r="42" spans="1:18" x14ac:dyDescent="0.2">
      <c r="A42" s="212" t="s">
        <v>150</v>
      </c>
      <c r="B42" s="203">
        <v>99810</v>
      </c>
      <c r="C42" s="203"/>
      <c r="D42" s="203"/>
      <c r="E42" s="203" t="s">
        <v>133</v>
      </c>
      <c r="F42" s="211">
        <v>45743</v>
      </c>
      <c r="G42" s="211">
        <f>DATE(2003,4,28)</f>
        <v>37739</v>
      </c>
      <c r="H42" s="233">
        <f t="shared" si="0"/>
        <v>21.92876712328767</v>
      </c>
      <c r="I42" s="203" t="s">
        <v>185</v>
      </c>
      <c r="J42" s="203" t="s">
        <v>186</v>
      </c>
      <c r="K42" s="293" t="s">
        <v>41</v>
      </c>
      <c r="L42" s="293" t="s">
        <v>41</v>
      </c>
      <c r="M42" s="293" t="s">
        <v>41</v>
      </c>
      <c r="N42" s="293" t="s">
        <v>41</v>
      </c>
      <c r="O42" s="293" t="s">
        <v>41</v>
      </c>
      <c r="P42" s="293" t="s">
        <v>41</v>
      </c>
      <c r="Q42" s="294" t="s">
        <v>41</v>
      </c>
      <c r="R42" s="237"/>
    </row>
    <row r="43" spans="1:18" x14ac:dyDescent="0.2">
      <c r="A43" s="212" t="s">
        <v>151</v>
      </c>
      <c r="B43" s="203">
        <v>184632</v>
      </c>
      <c r="C43" s="203"/>
      <c r="D43" s="203"/>
      <c r="E43" s="203" t="s">
        <v>134</v>
      </c>
      <c r="F43" s="211">
        <v>45758</v>
      </c>
      <c r="G43" s="211">
        <f>DATE(1990,6,1)</f>
        <v>33025</v>
      </c>
      <c r="H43" s="233">
        <f t="shared" si="0"/>
        <v>34.884931506849313</v>
      </c>
      <c r="I43" s="203" t="s">
        <v>185</v>
      </c>
      <c r="J43" s="203" t="s">
        <v>194</v>
      </c>
      <c r="K43" s="293" t="s">
        <v>41</v>
      </c>
      <c r="L43" s="293" t="s">
        <v>41</v>
      </c>
      <c r="M43" s="293" t="s">
        <v>41</v>
      </c>
      <c r="N43" s="293" t="s">
        <v>41</v>
      </c>
      <c r="O43" s="293" t="s">
        <v>41</v>
      </c>
      <c r="P43" s="293" t="s">
        <v>41</v>
      </c>
      <c r="Q43" s="294" t="s">
        <v>219</v>
      </c>
      <c r="R43" s="237"/>
    </row>
    <row r="44" spans="1:18" x14ac:dyDescent="0.2">
      <c r="A44" s="212" t="s">
        <v>152</v>
      </c>
      <c r="B44" s="203">
        <v>488218</v>
      </c>
      <c r="C44" s="203"/>
      <c r="D44" s="203"/>
      <c r="E44" s="203" t="s">
        <v>135</v>
      </c>
      <c r="F44" s="211">
        <v>45762</v>
      </c>
      <c r="G44" s="211">
        <f>DATE(2002,6,4)</f>
        <v>37411</v>
      </c>
      <c r="H44" s="233">
        <f t="shared" si="0"/>
        <v>22.87945205479452</v>
      </c>
      <c r="I44" s="203" t="s">
        <v>185</v>
      </c>
      <c r="J44" s="203" t="s">
        <v>186</v>
      </c>
      <c r="K44" s="293" t="s">
        <v>220</v>
      </c>
      <c r="L44" s="293" t="s">
        <v>41</v>
      </c>
      <c r="M44" s="293" t="s">
        <v>41</v>
      </c>
      <c r="N44" s="293" t="s">
        <v>221</v>
      </c>
      <c r="O44" t="s">
        <v>222</v>
      </c>
      <c r="P44" s="293" t="s">
        <v>41</v>
      </c>
      <c r="Q44" s="294" t="s">
        <v>41</v>
      </c>
      <c r="R44" s="237"/>
    </row>
    <row r="45" spans="1:18" x14ac:dyDescent="0.2">
      <c r="A45" s="212" t="s">
        <v>136</v>
      </c>
      <c r="B45" s="203">
        <v>928855</v>
      </c>
      <c r="C45" s="203"/>
      <c r="D45" s="203"/>
      <c r="E45" s="203" t="s">
        <v>136</v>
      </c>
      <c r="F45" s="211">
        <v>45828</v>
      </c>
      <c r="G45" s="211">
        <f>DATE(1960,5,22)</f>
        <v>22058</v>
      </c>
      <c r="H45" s="233">
        <f t="shared" si="0"/>
        <v>65.123287671232873</v>
      </c>
      <c r="I45" s="203" t="s">
        <v>185</v>
      </c>
      <c r="J45" s="203" t="s">
        <v>184</v>
      </c>
      <c r="K45" s="203" t="s">
        <v>41</v>
      </c>
      <c r="L45" s="203" t="s">
        <v>41</v>
      </c>
      <c r="M45" s="203" t="s">
        <v>41</v>
      </c>
      <c r="N45" s="203" t="s">
        <v>41</v>
      </c>
      <c r="O45" s="203" t="s">
        <v>41</v>
      </c>
      <c r="P45" s="203" t="s">
        <v>41</v>
      </c>
      <c r="Q45" s="217" t="s">
        <v>41</v>
      </c>
      <c r="R45" s="237"/>
    </row>
    <row r="46" spans="1:18" x14ac:dyDescent="0.2">
      <c r="A46" s="212" t="s">
        <v>153</v>
      </c>
      <c r="B46" s="203">
        <v>375578</v>
      </c>
      <c r="C46" s="203"/>
      <c r="D46" s="203"/>
      <c r="E46" s="203" t="s">
        <v>137</v>
      </c>
      <c r="F46" s="211">
        <v>45852</v>
      </c>
      <c r="G46" s="211">
        <f>DATE(2003,12,18)</f>
        <v>37973</v>
      </c>
      <c r="H46" s="233">
        <f t="shared" si="0"/>
        <v>21.586301369863012</v>
      </c>
      <c r="I46" s="203" t="s">
        <v>185</v>
      </c>
      <c r="J46" s="203" t="s">
        <v>186</v>
      </c>
      <c r="K46" s="293" t="s">
        <v>41</v>
      </c>
      <c r="L46" s="293" t="s">
        <v>41</v>
      </c>
      <c r="M46" s="293" t="s">
        <v>41</v>
      </c>
      <c r="N46" s="293" t="s">
        <v>41</v>
      </c>
      <c r="O46" s="293" t="s">
        <v>41</v>
      </c>
      <c r="P46" s="203" t="s">
        <v>41</v>
      </c>
      <c r="Q46" s="217" t="s">
        <v>41</v>
      </c>
      <c r="R46" s="237"/>
    </row>
    <row r="47" spans="1:18" x14ac:dyDescent="0.2">
      <c r="A47" s="212" t="s">
        <v>154</v>
      </c>
      <c r="B47" s="203">
        <v>90664</v>
      </c>
      <c r="C47" s="203"/>
      <c r="D47" s="203"/>
      <c r="E47" s="203" t="s">
        <v>138</v>
      </c>
      <c r="F47" s="211">
        <v>45860</v>
      </c>
      <c r="G47" s="211">
        <f>DATE(1993,1,5)</f>
        <v>33974</v>
      </c>
      <c r="H47" s="233">
        <f t="shared" si="0"/>
        <v>32.564383561643837</v>
      </c>
      <c r="I47" s="203" t="s">
        <v>183</v>
      </c>
      <c r="J47" s="203" t="s">
        <v>184</v>
      </c>
      <c r="K47" s="293" t="s">
        <v>41</v>
      </c>
      <c r="L47" s="293" t="s">
        <v>41</v>
      </c>
      <c r="M47" s="293" t="s">
        <v>223</v>
      </c>
      <c r="N47" s="293" t="s">
        <v>41</v>
      </c>
      <c r="O47" s="293" t="s">
        <v>41</v>
      </c>
      <c r="P47" s="203" t="s">
        <v>41</v>
      </c>
      <c r="Q47" s="217" t="s">
        <v>41</v>
      </c>
      <c r="R47" s="237"/>
    </row>
    <row r="48" spans="1:18" x14ac:dyDescent="0.2">
      <c r="A48" s="212" t="s">
        <v>155</v>
      </c>
      <c r="B48" s="203">
        <v>401748</v>
      </c>
      <c r="C48" s="203"/>
      <c r="D48" s="203"/>
      <c r="E48" s="203" t="s">
        <v>139</v>
      </c>
      <c r="F48" s="211">
        <v>45860</v>
      </c>
      <c r="G48" s="211">
        <f>DATE(2002,8,13)</f>
        <v>37481</v>
      </c>
      <c r="H48" s="233">
        <f t="shared" si="0"/>
        <v>22.956164383561642</v>
      </c>
      <c r="I48" s="203" t="s">
        <v>185</v>
      </c>
      <c r="J48" s="203" t="s">
        <v>186</v>
      </c>
      <c r="K48" s="293" t="s">
        <v>41</v>
      </c>
      <c r="L48" s="293" t="s">
        <v>46</v>
      </c>
      <c r="M48" s="293" t="s">
        <v>41</v>
      </c>
      <c r="N48" s="293" t="s">
        <v>41</v>
      </c>
      <c r="O48" s="293" t="s">
        <v>41</v>
      </c>
      <c r="P48" s="203" t="s">
        <v>41</v>
      </c>
      <c r="Q48" s="217" t="s">
        <v>41</v>
      </c>
      <c r="R48" s="237"/>
    </row>
    <row r="49" spans="1:18" x14ac:dyDescent="0.2">
      <c r="A49" s="212" t="s">
        <v>156</v>
      </c>
      <c r="B49" s="203">
        <v>173309</v>
      </c>
      <c r="C49" s="203"/>
      <c r="D49" s="203"/>
      <c r="E49" s="203" t="s">
        <v>140</v>
      </c>
      <c r="F49" s="211">
        <v>45861</v>
      </c>
      <c r="G49" s="211">
        <f>DATE(2002,6,24)</f>
        <v>37431</v>
      </c>
      <c r="H49" s="233">
        <f t="shared" si="0"/>
        <v>23.095890410958905</v>
      </c>
      <c r="I49" s="203" t="s">
        <v>185</v>
      </c>
      <c r="J49" s="203" t="s">
        <v>186</v>
      </c>
      <c r="K49" s="207"/>
      <c r="L49" s="207"/>
      <c r="M49" s="203" t="s">
        <v>41</v>
      </c>
      <c r="N49" s="203" t="s">
        <v>41</v>
      </c>
      <c r="O49" s="207"/>
      <c r="P49" s="203" t="s">
        <v>41</v>
      </c>
      <c r="Q49" s="217" t="s">
        <v>41</v>
      </c>
      <c r="R49" s="237"/>
    </row>
    <row r="50" spans="1:18" x14ac:dyDescent="0.2">
      <c r="A50" s="212" t="s">
        <v>157</v>
      </c>
      <c r="B50" s="203">
        <v>209273</v>
      </c>
      <c r="C50" s="203"/>
      <c r="D50" s="203"/>
      <c r="E50" s="203" t="s">
        <v>141</v>
      </c>
      <c r="F50" s="211">
        <v>45861</v>
      </c>
      <c r="G50" s="211">
        <f>DATE(2003,4,28)</f>
        <v>37739</v>
      </c>
      <c r="H50" s="233">
        <f t="shared" si="0"/>
        <v>22.252054794520546</v>
      </c>
      <c r="I50" s="203" t="s">
        <v>185</v>
      </c>
      <c r="J50" s="203" t="s">
        <v>186</v>
      </c>
      <c r="K50" s="293" t="s">
        <v>41</v>
      </c>
      <c r="L50" s="293" t="s">
        <v>224</v>
      </c>
      <c r="M50" s="293" t="s">
        <v>41</v>
      </c>
      <c r="N50" s="293" t="s">
        <v>41</v>
      </c>
      <c r="O50" s="293" t="s">
        <v>41</v>
      </c>
      <c r="P50" s="203" t="s">
        <v>41</v>
      </c>
      <c r="Q50" s="217" t="s">
        <v>41</v>
      </c>
      <c r="R50" s="237"/>
    </row>
    <row r="51" spans="1:18" x14ac:dyDescent="0.2">
      <c r="A51" s="212" t="s">
        <v>225</v>
      </c>
      <c r="B51" s="203">
        <v>237361</v>
      </c>
      <c r="C51" s="203"/>
      <c r="D51" s="203"/>
      <c r="E51" s="203" t="s">
        <v>142</v>
      </c>
      <c r="F51" s="211">
        <v>45868</v>
      </c>
      <c r="G51" s="211">
        <f>DATE(2003,7,14)</f>
        <v>37816</v>
      </c>
      <c r="H51" s="233">
        <f t="shared" si="0"/>
        <v>22.06027397260274</v>
      </c>
      <c r="I51" s="203" t="s">
        <v>185</v>
      </c>
      <c r="J51" s="203" t="s">
        <v>186</v>
      </c>
      <c r="K51" s="207"/>
      <c r="L51" s="207"/>
      <c r="M51" s="203" t="s">
        <v>41</v>
      </c>
      <c r="N51" s="203" t="s">
        <v>41</v>
      </c>
      <c r="O51" s="207"/>
      <c r="P51" s="203" t="s">
        <v>41</v>
      </c>
      <c r="Q51" s="217" t="s">
        <v>41</v>
      </c>
      <c r="R51" s="237"/>
    </row>
    <row r="52" spans="1:18" x14ac:dyDescent="0.2">
      <c r="A52" s="212" t="s">
        <v>159</v>
      </c>
      <c r="B52" s="203">
        <v>540007</v>
      </c>
      <c r="C52" s="203"/>
      <c r="D52" s="203"/>
      <c r="E52" s="203" t="s">
        <v>143</v>
      </c>
      <c r="F52" s="211">
        <v>45874</v>
      </c>
      <c r="G52" s="211">
        <f>DATE(2002,6,26)</f>
        <v>37433</v>
      </c>
      <c r="H52" s="233">
        <f t="shared" si="0"/>
        <v>23.126027397260273</v>
      </c>
      <c r="I52" s="203" t="s">
        <v>185</v>
      </c>
      <c r="J52" s="203" t="s">
        <v>186</v>
      </c>
      <c r="K52" s="207"/>
      <c r="L52" s="207"/>
      <c r="M52" s="203" t="s">
        <v>41</v>
      </c>
      <c r="N52" s="203" t="s">
        <v>41</v>
      </c>
      <c r="O52" s="203" t="s">
        <v>41</v>
      </c>
      <c r="P52" s="203" t="s">
        <v>41</v>
      </c>
      <c r="Q52" s="217" t="s">
        <v>41</v>
      </c>
      <c r="R52" s="237"/>
    </row>
    <row r="53" spans="1:18" x14ac:dyDescent="0.2">
      <c r="A53" s="215" t="s">
        <v>160</v>
      </c>
      <c r="B53" s="203">
        <v>64839</v>
      </c>
      <c r="C53" s="203"/>
      <c r="D53" s="203"/>
      <c r="E53" s="203" t="s">
        <v>144</v>
      </c>
      <c r="F53" s="211">
        <v>45926</v>
      </c>
      <c r="G53" s="211">
        <f>DATE(2000,8,12)</f>
        <v>36750</v>
      </c>
      <c r="H53" s="233">
        <f t="shared" si="0"/>
        <v>25.139726027397259</v>
      </c>
      <c r="I53" s="203" t="s">
        <v>185</v>
      </c>
      <c r="J53" s="203" t="s">
        <v>184</v>
      </c>
      <c r="K53" s="203" t="s">
        <v>41</v>
      </c>
      <c r="L53" s="203" t="s">
        <v>41</v>
      </c>
      <c r="M53" s="203" t="s">
        <v>41</v>
      </c>
      <c r="N53" s="203" t="s">
        <v>41</v>
      </c>
      <c r="O53" s="203" t="s">
        <v>41</v>
      </c>
      <c r="P53" s="203" t="s">
        <v>41</v>
      </c>
      <c r="Q53" s="217" t="s">
        <v>41</v>
      </c>
      <c r="R53" s="237"/>
    </row>
    <row r="54" spans="1:18" x14ac:dyDescent="0.2">
      <c r="A54" s="222" t="s">
        <v>161</v>
      </c>
      <c r="B54" s="208">
        <v>392487</v>
      </c>
      <c r="C54" s="208"/>
      <c r="D54" s="208"/>
      <c r="E54" s="208" t="s">
        <v>145</v>
      </c>
      <c r="F54" s="223">
        <v>45943</v>
      </c>
      <c r="G54" s="223">
        <f>DATE(1995,9,24)</f>
        <v>34966</v>
      </c>
      <c r="H54" s="234">
        <f t="shared" si="0"/>
        <v>30.073972602739726</v>
      </c>
      <c r="I54" s="208" t="s">
        <v>185</v>
      </c>
      <c r="J54" s="208" t="s">
        <v>202</v>
      </c>
      <c r="K54" s="295" t="s">
        <v>41</v>
      </c>
      <c r="L54" s="208" t="s">
        <v>226</v>
      </c>
      <c r="M54" s="208" t="s">
        <v>41</v>
      </c>
      <c r="N54" s="208" t="s">
        <v>41</v>
      </c>
      <c r="O54" s="208" t="s">
        <v>227</v>
      </c>
      <c r="P54" s="208" t="s">
        <v>41</v>
      </c>
      <c r="Q54" s="224" t="s">
        <v>41</v>
      </c>
      <c r="R54" s="238"/>
    </row>
    <row r="55" spans="1:18" x14ac:dyDescent="0.2">
      <c r="A55" s="267" t="s">
        <v>162</v>
      </c>
      <c r="B55">
        <v>750492</v>
      </c>
      <c r="E55" s="268" t="s">
        <v>146</v>
      </c>
      <c r="F55" s="21">
        <v>45996</v>
      </c>
      <c r="G55" s="21">
        <f>DATE(2006,11,18)</f>
        <v>39039</v>
      </c>
      <c r="H55" s="234">
        <f t="shared" si="0"/>
        <v>19.06027397260274</v>
      </c>
      <c r="I55" s="268" t="s">
        <v>185</v>
      </c>
      <c r="J55" t="s">
        <v>186</v>
      </c>
      <c r="K55" t="s">
        <v>41</v>
      </c>
      <c r="L55" t="s">
        <v>41</v>
      </c>
      <c r="M55" t="s">
        <v>41</v>
      </c>
      <c r="N55" t="s">
        <v>41</v>
      </c>
      <c r="O55" t="s">
        <v>41</v>
      </c>
      <c r="P55" t="s">
        <v>41</v>
      </c>
      <c r="Q55" t="s">
        <v>41</v>
      </c>
      <c r="R55" s="238"/>
    </row>
    <row r="56" spans="1:18" x14ac:dyDescent="0.2">
      <c r="A56" s="267" t="s">
        <v>163</v>
      </c>
      <c r="B56" s="268">
        <v>307951</v>
      </c>
      <c r="E56" s="268" t="s">
        <v>147</v>
      </c>
      <c r="F56" s="21">
        <v>45912</v>
      </c>
      <c r="G56" s="21">
        <v>38394</v>
      </c>
      <c r="H56" s="233">
        <f t="shared" si="0"/>
        <v>20.597260273972601</v>
      </c>
      <c r="I56" s="268" t="s">
        <v>185</v>
      </c>
      <c r="J56" t="s">
        <v>186</v>
      </c>
      <c r="K56" t="s">
        <v>41</v>
      </c>
      <c r="L56" t="s">
        <v>41</v>
      </c>
      <c r="M56" t="s">
        <v>41</v>
      </c>
      <c r="N56" t="s">
        <v>41</v>
      </c>
      <c r="O56" t="s">
        <v>41</v>
      </c>
      <c r="P56" t="s">
        <v>41</v>
      </c>
      <c r="Q56" t="s">
        <v>41</v>
      </c>
      <c r="R56" s="238"/>
    </row>
    <row r="57" spans="1:18" x14ac:dyDescent="0.2">
      <c r="A57" s="267" t="s">
        <v>228</v>
      </c>
      <c r="B57">
        <v>37307</v>
      </c>
      <c r="E57" s="268" t="s">
        <v>229</v>
      </c>
      <c r="F57" s="21">
        <v>46196</v>
      </c>
      <c r="H57" s="233">
        <v>25</v>
      </c>
      <c r="J57" t="s">
        <v>184</v>
      </c>
    </row>
    <row r="58" spans="1:18" x14ac:dyDescent="0.2">
      <c r="A58" s="44" t="s">
        <v>230</v>
      </c>
      <c r="B58">
        <v>692093</v>
      </c>
      <c r="E58" t="s">
        <v>231</v>
      </c>
      <c r="F58" s="21">
        <v>46198</v>
      </c>
      <c r="H58" s="233">
        <v>20</v>
      </c>
      <c r="J58" t="s">
        <v>184</v>
      </c>
    </row>
    <row r="59" spans="1:18" x14ac:dyDescent="0.2">
      <c r="A59" s="44" t="s">
        <v>232</v>
      </c>
      <c r="B59">
        <v>722676</v>
      </c>
      <c r="E59" t="s">
        <v>233</v>
      </c>
      <c r="F59" s="21">
        <v>46060</v>
      </c>
      <c r="H59">
        <v>26</v>
      </c>
      <c r="J59" t="s">
        <v>184</v>
      </c>
    </row>
    <row r="60" spans="1:18" x14ac:dyDescent="0.2">
      <c r="H60" s="233"/>
    </row>
    <row r="61" spans="1:18" s="10" customFormat="1" x14ac:dyDescent="0.2">
      <c r="A61" s="323" t="s">
        <v>234</v>
      </c>
      <c r="H61" s="322"/>
    </row>
    <row r="62" spans="1:18" x14ac:dyDescent="0.2">
      <c r="A62" s="20" t="s">
        <v>82</v>
      </c>
      <c r="B62" s="1" t="s">
        <v>108</v>
      </c>
      <c r="C62" s="1" t="s">
        <v>169</v>
      </c>
      <c r="D62" s="1"/>
      <c r="E62" s="1" t="s">
        <v>55</v>
      </c>
      <c r="F62" s="20" t="s">
        <v>170</v>
      </c>
      <c r="G62" s="20" t="s">
        <v>171</v>
      </c>
      <c r="H62" s="20" t="s">
        <v>172</v>
      </c>
      <c r="I62" s="20" t="s">
        <v>173</v>
      </c>
      <c r="J62" s="20" t="s">
        <v>174</v>
      </c>
      <c r="K62" s="20" t="s">
        <v>175</v>
      </c>
      <c r="L62" s="20" t="s">
        <v>176</v>
      </c>
      <c r="M62" s="20" t="s">
        <v>177</v>
      </c>
      <c r="N62" s="20" t="s">
        <v>178</v>
      </c>
      <c r="O62" s="20" t="s">
        <v>179</v>
      </c>
      <c r="P62" s="20" t="s">
        <v>180</v>
      </c>
      <c r="Q62" s="20" t="s">
        <v>181</v>
      </c>
      <c r="R62" s="20" t="s">
        <v>182</v>
      </c>
    </row>
  </sheetData>
  <mergeCells count="2">
    <mergeCell ref="I1:J1"/>
    <mergeCell ref="L1:M1"/>
  </mergeCells>
  <pageMargins left="0.7" right="0.7" top="0.75" bottom="0.75" header="0.3" footer="0.3"/>
  <pageSetup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9998-AB1A-2E48-A16E-55A4ADEB1965}">
  <dimension ref="A2:DD93"/>
  <sheetViews>
    <sheetView tabSelected="1" zoomScale="80" zoomScaleNormal="80" workbookViewId="0">
      <pane xSplit="1" topLeftCell="B1" activePane="topRight" state="frozen"/>
      <selection pane="topRight" activeCell="I36" sqref="I36"/>
    </sheetView>
  </sheetViews>
  <sheetFormatPr baseColWidth="10" defaultColWidth="11" defaultRowHeight="15.75" customHeight="1" x14ac:dyDescent="0.2"/>
  <cols>
    <col min="5" max="5" width="17" customWidth="1"/>
    <col min="6" max="6" width="19.6640625" customWidth="1"/>
    <col min="7" max="9" width="22" customWidth="1"/>
    <col min="10" max="10" width="34.6640625" customWidth="1"/>
    <col min="11" max="11" width="31.5" customWidth="1"/>
    <col min="12" max="14" width="13.33203125" customWidth="1"/>
    <col min="28" max="28" width="10.83203125" customWidth="1"/>
    <col min="32" max="32" width="12.5" customWidth="1"/>
    <col min="43" max="43" width="11.83203125" customWidth="1"/>
    <col min="69" max="69" width="15.33203125" customWidth="1"/>
    <col min="77" max="77" width="15.33203125" customWidth="1"/>
    <col min="81" max="81" width="12" customWidth="1"/>
    <col min="82" max="82" width="15" customWidth="1"/>
    <col min="83" max="83" width="17.5" customWidth="1"/>
    <col min="84" max="84" width="15" customWidth="1"/>
    <col min="86" max="87" width="9.6640625" customWidth="1"/>
    <col min="89" max="89" width="10.1640625" customWidth="1"/>
  </cols>
  <sheetData>
    <row r="2" spans="1:108" ht="16" x14ac:dyDescent="0.2">
      <c r="O2" s="100" t="s">
        <v>235</v>
      </c>
      <c r="P2" s="98"/>
      <c r="Q2" s="98"/>
      <c r="R2" s="98"/>
      <c r="S2" s="98"/>
      <c r="T2" s="98"/>
      <c r="U2" s="98"/>
      <c r="V2" s="98"/>
      <c r="W2" s="98"/>
      <c r="Y2" s="425" t="s">
        <v>166</v>
      </c>
      <c r="Z2" s="425"/>
      <c r="AB2" s="46" t="s">
        <v>165</v>
      </c>
    </row>
    <row r="3" spans="1:108" ht="16" x14ac:dyDescent="0.2">
      <c r="O3" s="95"/>
      <c r="P3" s="95"/>
      <c r="Q3" s="95"/>
      <c r="R3" s="95"/>
      <c r="S3" s="95"/>
      <c r="T3" s="95"/>
      <c r="U3" s="95"/>
      <c r="V3" s="95"/>
      <c r="W3" s="95"/>
      <c r="Y3" s="4"/>
      <c r="Z3" s="4"/>
    </row>
    <row r="4" spans="1:108" ht="16" x14ac:dyDescent="0.2">
      <c r="O4" s="95"/>
      <c r="P4" s="95"/>
      <c r="Q4" s="95"/>
      <c r="R4" s="95"/>
      <c r="S4" s="95"/>
      <c r="T4" s="95"/>
      <c r="U4" s="95"/>
      <c r="V4" s="95"/>
      <c r="W4" s="95"/>
      <c r="Y4" s="4"/>
      <c r="Z4" s="4"/>
    </row>
    <row r="5" spans="1:108" s="413" customFormat="1" ht="16.5" customHeight="1" x14ac:dyDescent="0.2">
      <c r="A5" s="413" t="s">
        <v>236</v>
      </c>
      <c r="AK5" s="431"/>
      <c r="AL5" s="431"/>
      <c r="AM5" s="431"/>
      <c r="AN5" s="414"/>
      <c r="AO5" s="414"/>
      <c r="AP5" s="414"/>
      <c r="AQ5" s="414"/>
      <c r="AR5" s="414"/>
      <c r="BM5" s="415"/>
      <c r="BP5" s="415"/>
      <c r="BW5" s="415"/>
      <c r="CB5" s="415"/>
      <c r="CI5" s="415"/>
      <c r="CQ5" s="415"/>
      <c r="CY5" s="415"/>
      <c r="DD5" s="415"/>
    </row>
    <row r="6" spans="1:108" ht="16" x14ac:dyDescent="0.2">
      <c r="O6" s="2"/>
      <c r="P6" s="435" t="s">
        <v>109</v>
      </c>
      <c r="Q6" s="435"/>
      <c r="R6" s="435"/>
      <c r="S6" s="435"/>
      <c r="T6" s="435"/>
      <c r="U6" s="328"/>
      <c r="V6" s="2"/>
      <c r="W6" s="432" t="s">
        <v>237</v>
      </c>
      <c r="X6" s="432"/>
      <c r="Y6" s="432"/>
      <c r="Z6" s="432"/>
      <c r="AA6" s="432"/>
      <c r="AB6" s="432"/>
      <c r="AC6" s="432"/>
      <c r="AD6" s="432"/>
      <c r="AG6" s="2"/>
      <c r="AH6" s="434" t="s">
        <v>238</v>
      </c>
      <c r="AI6" s="434"/>
      <c r="AJ6" s="434"/>
      <c r="AK6" s="434"/>
      <c r="AL6" s="434"/>
      <c r="AM6" s="434"/>
      <c r="AN6" s="434"/>
      <c r="AO6" s="434"/>
      <c r="AR6" s="2"/>
      <c r="AS6" s="427" t="s">
        <v>239</v>
      </c>
      <c r="AT6" s="427"/>
      <c r="AU6" s="3"/>
      <c r="AV6" s="427" t="s">
        <v>240</v>
      </c>
      <c r="AW6" s="427"/>
      <c r="AX6" s="427"/>
      <c r="AY6" s="427"/>
      <c r="AZ6" s="3"/>
      <c r="BA6" s="432" t="s">
        <v>241</v>
      </c>
      <c r="BB6" s="432"/>
      <c r="BC6" s="432"/>
      <c r="BD6" s="432"/>
      <c r="BE6" s="3"/>
      <c r="BF6" s="434" t="s">
        <v>242</v>
      </c>
      <c r="BG6" s="434"/>
      <c r="BH6" s="434"/>
      <c r="BI6" s="434"/>
      <c r="BJ6" s="3"/>
      <c r="BK6" s="432" t="s">
        <v>243</v>
      </c>
      <c r="BL6" s="432"/>
      <c r="BM6" s="432"/>
      <c r="BN6" s="432"/>
      <c r="BO6" s="432"/>
      <c r="BP6" s="432"/>
      <c r="BR6" s="3"/>
      <c r="BS6" s="434" t="s">
        <v>244</v>
      </c>
      <c r="BT6" s="434"/>
      <c r="BU6" s="434"/>
      <c r="BV6" s="434"/>
      <c r="BW6" s="434"/>
      <c r="BX6" s="434"/>
      <c r="BZ6" s="3"/>
      <c r="CA6" s="427" t="s">
        <v>118</v>
      </c>
      <c r="CB6" s="427"/>
      <c r="CC6" s="427"/>
      <c r="CD6" s="427"/>
      <c r="CE6" s="324"/>
      <c r="CF6" s="324"/>
      <c r="CG6" s="3"/>
      <c r="CH6" s="427" t="s">
        <v>245</v>
      </c>
      <c r="CI6" s="427"/>
      <c r="CJ6" s="97"/>
      <c r="CL6" s="97"/>
      <c r="CM6" s="432" t="s">
        <v>246</v>
      </c>
      <c r="CN6" s="432"/>
      <c r="CO6" s="432"/>
      <c r="CP6" s="432"/>
      <c r="CQ6" s="432"/>
      <c r="CR6" s="432"/>
      <c r="CS6" s="97"/>
      <c r="CT6" s="434" t="s">
        <v>247</v>
      </c>
      <c r="CU6" s="434"/>
      <c r="CV6" s="434"/>
      <c r="CW6" s="434"/>
      <c r="CX6" s="434"/>
      <c r="CY6" s="434"/>
      <c r="CZ6" s="97"/>
      <c r="DA6" t="s">
        <v>659</v>
      </c>
    </row>
    <row r="7" spans="1:108" ht="16" x14ac:dyDescent="0.2">
      <c r="A7" s="20" t="s">
        <v>82</v>
      </c>
      <c r="B7" s="1" t="s">
        <v>248</v>
      </c>
      <c r="C7" s="1" t="s">
        <v>249</v>
      </c>
      <c r="D7" s="1" t="s">
        <v>250</v>
      </c>
      <c r="E7" s="1" t="s">
        <v>55</v>
      </c>
      <c r="F7" s="1" t="s">
        <v>251</v>
      </c>
      <c r="G7" s="1" t="s">
        <v>252</v>
      </c>
      <c r="H7" s="1" t="s">
        <v>253</v>
      </c>
      <c r="I7" s="1" t="s">
        <v>254</v>
      </c>
      <c r="J7" s="1" t="s">
        <v>255</v>
      </c>
      <c r="K7" s="1" t="s">
        <v>256</v>
      </c>
      <c r="L7" s="1" t="s">
        <v>257</v>
      </c>
      <c r="M7" s="328" t="s">
        <v>258</v>
      </c>
      <c r="N7" s="328" t="s">
        <v>644</v>
      </c>
      <c r="O7" s="2"/>
      <c r="P7" s="1" t="s">
        <v>9</v>
      </c>
      <c r="Q7" s="1" t="s">
        <v>13</v>
      </c>
      <c r="R7" s="1" t="s">
        <v>10</v>
      </c>
      <c r="S7" s="1" t="s">
        <v>11</v>
      </c>
      <c r="T7" s="1" t="s">
        <v>12</v>
      </c>
      <c r="U7" s="1" t="s">
        <v>644</v>
      </c>
      <c r="V7" s="2"/>
      <c r="W7" s="1">
        <v>250</v>
      </c>
      <c r="X7" s="1">
        <v>500</v>
      </c>
      <c r="Y7" s="1">
        <v>1000</v>
      </c>
      <c r="Z7" s="1">
        <v>2000</v>
      </c>
      <c r="AA7" s="1">
        <v>3000</v>
      </c>
      <c r="AB7" s="1">
        <v>4000</v>
      </c>
      <c r="AC7" s="1">
        <v>6000</v>
      </c>
      <c r="AD7" s="1">
        <v>8000</v>
      </c>
      <c r="AE7" s="54" t="s">
        <v>259</v>
      </c>
      <c r="AF7" s="53" t="s">
        <v>260</v>
      </c>
      <c r="AG7" s="2"/>
      <c r="AH7" s="1">
        <v>250</v>
      </c>
      <c r="AI7" s="1">
        <v>500</v>
      </c>
      <c r="AJ7" s="1">
        <v>1000</v>
      </c>
      <c r="AK7" s="1">
        <v>2000</v>
      </c>
      <c r="AL7" s="1">
        <v>3000</v>
      </c>
      <c r="AM7" s="1">
        <v>4000</v>
      </c>
      <c r="AN7" s="1">
        <v>6000</v>
      </c>
      <c r="AO7" s="1">
        <v>8000</v>
      </c>
      <c r="AP7" s="59" t="s">
        <v>259</v>
      </c>
      <c r="AQ7" s="58" t="s">
        <v>260</v>
      </c>
      <c r="AR7" s="2"/>
      <c r="AS7" s="6" t="s">
        <v>261</v>
      </c>
      <c r="AT7" s="7" t="s">
        <v>262</v>
      </c>
      <c r="AU7" s="3"/>
      <c r="AV7" s="6" t="s">
        <v>263</v>
      </c>
      <c r="AW7" s="6" t="s">
        <v>264</v>
      </c>
      <c r="AX7" s="7" t="s">
        <v>265</v>
      </c>
      <c r="AY7" s="7" t="s">
        <v>264</v>
      </c>
      <c r="AZ7" s="3"/>
      <c r="BA7" s="1">
        <v>10000</v>
      </c>
      <c r="BB7" s="1">
        <v>12500</v>
      </c>
      <c r="BC7" s="1">
        <v>14000</v>
      </c>
      <c r="BD7" s="1">
        <v>16000</v>
      </c>
      <c r="BE7" s="3"/>
      <c r="BF7" s="1">
        <v>10000</v>
      </c>
      <c r="BG7" s="1">
        <v>12500</v>
      </c>
      <c r="BH7" s="1">
        <v>14000</v>
      </c>
      <c r="BI7" s="1">
        <v>16000</v>
      </c>
      <c r="BJ7" s="3"/>
      <c r="BK7" s="1">
        <v>250</v>
      </c>
      <c r="BL7" s="1">
        <v>500</v>
      </c>
      <c r="BM7" s="1">
        <v>1000</v>
      </c>
      <c r="BN7" s="1">
        <v>2000</v>
      </c>
      <c r="BO7" s="1">
        <v>4000</v>
      </c>
      <c r="BP7" s="1">
        <v>8000</v>
      </c>
      <c r="BQ7" s="8" t="s">
        <v>266</v>
      </c>
      <c r="BR7" s="3"/>
      <c r="BS7" s="1">
        <v>250</v>
      </c>
      <c r="BT7" s="1">
        <v>500</v>
      </c>
      <c r="BU7" s="1">
        <v>1000</v>
      </c>
      <c r="BV7" s="1">
        <v>2000</v>
      </c>
      <c r="BW7" s="1">
        <v>4000</v>
      </c>
      <c r="BX7" s="1">
        <v>8000</v>
      </c>
      <c r="BY7" s="5" t="s">
        <v>266</v>
      </c>
      <c r="BZ7" s="3"/>
      <c r="CA7" s="1" t="s">
        <v>267</v>
      </c>
      <c r="CB7" s="1" t="s">
        <v>268</v>
      </c>
      <c r="CC7" s="1" t="s">
        <v>269</v>
      </c>
      <c r="CD7" s="1" t="s">
        <v>270</v>
      </c>
      <c r="CE7" s="1" t="s">
        <v>271</v>
      </c>
      <c r="CF7" s="1" t="s">
        <v>272</v>
      </c>
      <c r="CG7" s="3"/>
      <c r="CH7" s="329" t="s">
        <v>273</v>
      </c>
      <c r="CI7" s="330" t="s">
        <v>274</v>
      </c>
      <c r="CJ7" s="97"/>
      <c r="CK7" s="20" t="s">
        <v>275</v>
      </c>
      <c r="CL7" s="97"/>
      <c r="CM7" s="1">
        <v>250</v>
      </c>
      <c r="CN7" s="1">
        <v>500</v>
      </c>
      <c r="CO7" s="1">
        <v>1000</v>
      </c>
      <c r="CP7" s="1">
        <v>2000</v>
      </c>
      <c r="CQ7" s="1">
        <v>4000</v>
      </c>
      <c r="CR7" s="1">
        <v>8000</v>
      </c>
      <c r="CS7" s="97"/>
      <c r="CT7" s="1">
        <v>250</v>
      </c>
      <c r="CU7" s="1">
        <v>500</v>
      </c>
      <c r="CV7" s="1">
        <v>1000</v>
      </c>
      <c r="CW7" s="1">
        <v>2000</v>
      </c>
      <c r="CX7" s="1">
        <v>4000</v>
      </c>
      <c r="CY7" s="1">
        <v>8000</v>
      </c>
      <c r="CZ7" s="97"/>
      <c r="DA7" s="20" t="s">
        <v>660</v>
      </c>
      <c r="DB7" s="20" t="s">
        <v>661</v>
      </c>
    </row>
    <row r="8" spans="1:108" ht="16" x14ac:dyDescent="0.2">
      <c r="A8" s="44" t="s">
        <v>56</v>
      </c>
      <c r="B8" s="47">
        <v>822866</v>
      </c>
      <c r="C8">
        <v>323706</v>
      </c>
      <c r="E8" t="s">
        <v>56</v>
      </c>
      <c r="F8" s="21">
        <f>DATE(2025,4,18)</f>
        <v>45765</v>
      </c>
      <c r="G8" s="21"/>
      <c r="H8" s="21"/>
      <c r="I8" s="21"/>
      <c r="J8" s="21"/>
      <c r="O8" s="2"/>
      <c r="P8" s="102">
        <v>0</v>
      </c>
      <c r="Q8" s="174">
        <v>1</v>
      </c>
      <c r="R8" s="174">
        <v>1</v>
      </c>
      <c r="S8" s="174">
        <v>1</v>
      </c>
      <c r="T8" s="174">
        <v>1</v>
      </c>
      <c r="U8" s="174"/>
      <c r="V8" s="2"/>
      <c r="W8" s="11">
        <v>5</v>
      </c>
      <c r="X8" s="31">
        <v>0</v>
      </c>
      <c r="Y8" s="31">
        <v>10</v>
      </c>
      <c r="Z8" s="31">
        <v>5</v>
      </c>
      <c r="AA8" s="31">
        <v>10</v>
      </c>
      <c r="AB8" s="31">
        <v>10</v>
      </c>
      <c r="AC8" s="48">
        <v>30</v>
      </c>
      <c r="AD8" s="31">
        <v>10</v>
      </c>
      <c r="AE8" s="61">
        <f t="shared" ref="AE8:AE33" si="0">AVERAGE(X8:Z8,AB8)</f>
        <v>6.25</v>
      </c>
      <c r="AF8" s="52" t="s">
        <v>46</v>
      </c>
      <c r="AG8" s="2"/>
      <c r="AH8" s="31">
        <v>10</v>
      </c>
      <c r="AI8" s="31">
        <v>5</v>
      </c>
      <c r="AJ8" s="31">
        <v>5</v>
      </c>
      <c r="AK8" s="31">
        <v>10</v>
      </c>
      <c r="AL8" s="31">
        <v>10</v>
      </c>
      <c r="AM8" s="31">
        <v>10</v>
      </c>
      <c r="AN8" s="31">
        <v>20</v>
      </c>
      <c r="AO8" s="48">
        <v>30</v>
      </c>
      <c r="AP8" s="61">
        <f t="shared" ref="AP8:AP35" si="1">AVERAGE(AI8:AK8,AM8)</f>
        <v>7.5</v>
      </c>
      <c r="AQ8" s="227" t="s">
        <v>46</v>
      </c>
      <c r="AR8" s="2"/>
      <c r="AS8" s="173">
        <v>5</v>
      </c>
      <c r="AT8" s="173">
        <v>10</v>
      </c>
      <c r="AU8" s="3"/>
      <c r="AV8" s="63">
        <v>96</v>
      </c>
      <c r="AW8" s="63">
        <v>45</v>
      </c>
      <c r="AX8" s="64">
        <v>100</v>
      </c>
      <c r="AY8" s="64">
        <v>50</v>
      </c>
      <c r="AZ8" s="3"/>
      <c r="BA8" s="11">
        <v>15</v>
      </c>
      <c r="BB8" s="11">
        <v>25</v>
      </c>
      <c r="BC8" s="49">
        <v>50</v>
      </c>
      <c r="BD8" s="49">
        <v>55</v>
      </c>
      <c r="BE8" s="3"/>
      <c r="BF8" s="11">
        <v>20</v>
      </c>
      <c r="BG8" s="11">
        <v>25</v>
      </c>
      <c r="BH8" s="49">
        <v>30</v>
      </c>
      <c r="BI8" s="49">
        <v>45</v>
      </c>
      <c r="BJ8" s="3"/>
      <c r="BK8" s="11">
        <v>110</v>
      </c>
      <c r="BL8" s="11">
        <v>100</v>
      </c>
      <c r="BM8" s="11">
        <v>100</v>
      </c>
      <c r="BN8" s="11">
        <v>90</v>
      </c>
      <c r="BO8" s="11">
        <v>100</v>
      </c>
      <c r="BP8" s="11">
        <v>100</v>
      </c>
      <c r="BQ8" s="70">
        <f t="shared" ref="BQ8:BQ21" si="2">AVERAGE(BK8:BP8)</f>
        <v>100</v>
      </c>
      <c r="BR8" s="3"/>
      <c r="BS8" s="11">
        <v>110</v>
      </c>
      <c r="BT8" s="11">
        <v>85</v>
      </c>
      <c r="BU8" s="11">
        <v>100</v>
      </c>
      <c r="BV8" s="11">
        <v>110</v>
      </c>
      <c r="BW8" s="11">
        <v>105</v>
      </c>
      <c r="BX8" s="11">
        <v>105</v>
      </c>
      <c r="BY8" s="71">
        <f t="shared" ref="BY8:BY35" si="3">AVERAGE(BS8:BX8)</f>
        <v>102.5</v>
      </c>
      <c r="BZ8" s="3"/>
      <c r="CA8" s="30" t="s">
        <v>276</v>
      </c>
      <c r="CB8" s="30" t="s">
        <v>277</v>
      </c>
      <c r="CC8" s="30">
        <v>8000</v>
      </c>
      <c r="CD8" s="30">
        <v>12</v>
      </c>
      <c r="CE8" s="30"/>
      <c r="CF8" s="30"/>
      <c r="CG8" s="3"/>
      <c r="CH8" t="s">
        <v>278</v>
      </c>
      <c r="CI8" t="s">
        <v>279</v>
      </c>
      <c r="CJ8" s="97"/>
      <c r="CK8" s="69">
        <v>100</v>
      </c>
      <c r="CL8" s="97"/>
      <c r="CM8" s="313">
        <f t="shared" ref="CM8:CM21" si="4">BK8-W8</f>
        <v>105</v>
      </c>
      <c r="CN8" s="313">
        <f t="shared" ref="CN8:CN21" si="5">BL8-X8</f>
        <v>100</v>
      </c>
      <c r="CO8" s="313">
        <f t="shared" ref="CO8:CO21" si="6">BM8-Y8</f>
        <v>90</v>
      </c>
      <c r="CP8" s="313">
        <f t="shared" ref="CP8:CP21" si="7">BN8-Z8</f>
        <v>85</v>
      </c>
      <c r="CQ8" s="313">
        <f t="shared" ref="CQ8:CQ21" si="8">BO8-AB8</f>
        <v>90</v>
      </c>
      <c r="CR8" s="313">
        <f>BP8-AD8</f>
        <v>90</v>
      </c>
      <c r="CS8" s="97"/>
      <c r="CT8">
        <f t="shared" ref="CT8:CT33" si="9">BS8-AH8</f>
        <v>100</v>
      </c>
      <c r="CU8">
        <f t="shared" ref="CU8:CU33" si="10">BT8-AI8</f>
        <v>80</v>
      </c>
      <c r="CV8">
        <f t="shared" ref="CV8:CV33" si="11">BU8-AJ8</f>
        <v>95</v>
      </c>
      <c r="CW8">
        <f t="shared" ref="CW8:CW33" si="12">BV8-AK8</f>
        <v>100</v>
      </c>
      <c r="CX8">
        <f t="shared" ref="CX8:CX35" si="13">BW8-AM8</f>
        <v>95</v>
      </c>
      <c r="CY8">
        <f>BX8-AO8</f>
        <v>75</v>
      </c>
      <c r="CZ8" s="97"/>
    </row>
    <row r="9" spans="1:108" ht="16" customHeight="1" x14ac:dyDescent="0.2">
      <c r="A9" s="44" t="s">
        <v>83</v>
      </c>
      <c r="B9">
        <v>81795</v>
      </c>
      <c r="E9" t="s">
        <v>57</v>
      </c>
      <c r="F9" s="21">
        <f>DATE(2025,6,17)</f>
        <v>45825</v>
      </c>
      <c r="G9" s="21"/>
      <c r="H9" s="21"/>
      <c r="I9" s="21"/>
      <c r="J9" s="21"/>
      <c r="O9" s="2"/>
      <c r="P9" s="102">
        <v>0</v>
      </c>
      <c r="Q9" s="175">
        <v>0</v>
      </c>
      <c r="R9" s="175">
        <v>0</v>
      </c>
      <c r="S9" s="174">
        <v>1</v>
      </c>
      <c r="T9" s="175">
        <v>0</v>
      </c>
      <c r="U9" s="175"/>
      <c r="V9" s="2"/>
      <c r="W9" s="11">
        <v>5</v>
      </c>
      <c r="X9" s="11">
        <v>5</v>
      </c>
      <c r="Y9" s="11">
        <v>0</v>
      </c>
      <c r="Z9" s="11">
        <v>5</v>
      </c>
      <c r="AA9" s="11">
        <v>0</v>
      </c>
      <c r="AB9" s="11">
        <v>10</v>
      </c>
      <c r="AC9" s="11">
        <v>5</v>
      </c>
      <c r="AD9" s="11">
        <v>10</v>
      </c>
      <c r="AE9" s="61">
        <f t="shared" si="0"/>
        <v>5</v>
      </c>
      <c r="AF9" s="57" t="s">
        <v>41</v>
      </c>
      <c r="AG9" s="2"/>
      <c r="AH9">
        <v>0</v>
      </c>
      <c r="AI9">
        <v>0</v>
      </c>
      <c r="AJ9">
        <v>0</v>
      </c>
      <c r="AK9">
        <v>10</v>
      </c>
      <c r="AL9">
        <v>5</v>
      </c>
      <c r="AM9">
        <v>10</v>
      </c>
      <c r="AN9">
        <v>10</v>
      </c>
      <c r="AO9">
        <v>0</v>
      </c>
      <c r="AP9" s="61">
        <f t="shared" si="1"/>
        <v>5</v>
      </c>
      <c r="AQ9" s="4" t="s">
        <v>41</v>
      </c>
      <c r="AR9" s="2"/>
      <c r="AS9" s="62">
        <v>0</v>
      </c>
      <c r="AT9" s="62">
        <v>10</v>
      </c>
      <c r="AU9" s="3"/>
      <c r="AV9" s="63">
        <v>100</v>
      </c>
      <c r="AW9" s="63">
        <v>40</v>
      </c>
      <c r="AX9" s="64">
        <v>100</v>
      </c>
      <c r="AY9" s="64">
        <v>50</v>
      </c>
      <c r="AZ9" s="3"/>
      <c r="BA9" s="11">
        <v>-10</v>
      </c>
      <c r="BB9" s="11">
        <v>-10</v>
      </c>
      <c r="BC9" s="11">
        <v>-5</v>
      </c>
      <c r="BD9" s="11">
        <v>-20</v>
      </c>
      <c r="BE9" s="3"/>
      <c r="BF9" s="11">
        <v>-5</v>
      </c>
      <c r="BG9" s="11">
        <v>-5</v>
      </c>
      <c r="BH9" s="11">
        <v>-10</v>
      </c>
      <c r="BI9" s="11">
        <v>-15</v>
      </c>
      <c r="BJ9" s="3"/>
      <c r="BK9" s="49">
        <v>70</v>
      </c>
      <c r="BL9" s="11">
        <v>80</v>
      </c>
      <c r="BM9" s="49">
        <v>70</v>
      </c>
      <c r="BN9" s="49">
        <v>75</v>
      </c>
      <c r="BO9" s="49">
        <v>70</v>
      </c>
      <c r="BP9" s="49">
        <v>65</v>
      </c>
      <c r="BQ9" s="69">
        <f t="shared" si="2"/>
        <v>71.666666666666671</v>
      </c>
      <c r="BR9" s="3"/>
      <c r="BS9" s="49">
        <v>65</v>
      </c>
      <c r="BT9" s="49">
        <v>60</v>
      </c>
      <c r="BU9" s="11">
        <v>80</v>
      </c>
      <c r="BV9" s="49">
        <v>75</v>
      </c>
      <c r="BW9" s="49">
        <v>65</v>
      </c>
      <c r="BX9" s="49">
        <v>55</v>
      </c>
      <c r="BY9" s="72">
        <f t="shared" si="3"/>
        <v>66.666666666666671</v>
      </c>
      <c r="BZ9" s="3"/>
      <c r="CA9" s="433" t="s">
        <v>280</v>
      </c>
      <c r="CB9" s="433"/>
      <c r="CC9" s="433"/>
      <c r="CD9" s="433"/>
      <c r="CE9" s="433"/>
      <c r="CF9" s="433"/>
      <c r="CG9" s="3"/>
      <c r="CH9" t="s">
        <v>281</v>
      </c>
      <c r="CI9" t="s">
        <v>282</v>
      </c>
      <c r="CJ9" s="97"/>
      <c r="CK9" s="72">
        <v>66.666666666666671</v>
      </c>
      <c r="CL9" s="97"/>
      <c r="CM9" s="313">
        <f t="shared" si="4"/>
        <v>65</v>
      </c>
      <c r="CN9" s="313">
        <f t="shared" si="5"/>
        <v>75</v>
      </c>
      <c r="CO9" s="313">
        <f t="shared" si="6"/>
        <v>70</v>
      </c>
      <c r="CP9" s="313">
        <f t="shared" si="7"/>
        <v>70</v>
      </c>
      <c r="CQ9" s="313">
        <f t="shared" si="8"/>
        <v>60</v>
      </c>
      <c r="CR9" s="313">
        <f>BP9-AD9</f>
        <v>55</v>
      </c>
      <c r="CS9" s="97"/>
      <c r="CT9">
        <f t="shared" si="9"/>
        <v>65</v>
      </c>
      <c r="CU9">
        <f t="shared" si="10"/>
        <v>60</v>
      </c>
      <c r="CV9">
        <f t="shared" si="11"/>
        <v>80</v>
      </c>
      <c r="CW9">
        <f t="shared" si="12"/>
        <v>65</v>
      </c>
      <c r="CX9">
        <f t="shared" si="13"/>
        <v>55</v>
      </c>
      <c r="CY9">
        <f>BX9-AO9</f>
        <v>55</v>
      </c>
      <c r="CZ9" s="97"/>
    </row>
    <row r="10" spans="1:108" ht="16" x14ac:dyDescent="0.2">
      <c r="A10" s="44" t="s">
        <v>84</v>
      </c>
      <c r="B10" s="47">
        <v>198651</v>
      </c>
      <c r="C10">
        <v>797337</v>
      </c>
      <c r="E10" t="s">
        <v>58</v>
      </c>
      <c r="F10" s="21">
        <f>DATE(2025,4,17)</f>
        <v>45764</v>
      </c>
      <c r="G10" s="21"/>
      <c r="H10" s="21"/>
      <c r="I10" s="21"/>
      <c r="J10" s="21"/>
      <c r="O10" s="2"/>
      <c r="P10" s="102">
        <v>0</v>
      </c>
      <c r="Q10" s="175">
        <v>0</v>
      </c>
      <c r="R10" s="174">
        <v>1</v>
      </c>
      <c r="S10" s="174">
        <v>1</v>
      </c>
      <c r="T10" s="174">
        <v>1</v>
      </c>
      <c r="U10" s="174"/>
      <c r="V10" s="2"/>
      <c r="W10" s="11">
        <v>5</v>
      </c>
      <c r="X10" s="11">
        <v>0</v>
      </c>
      <c r="Y10" s="11">
        <v>0</v>
      </c>
      <c r="Z10" s="11">
        <v>-5</v>
      </c>
      <c r="AA10" s="11">
        <v>5</v>
      </c>
      <c r="AB10" s="11">
        <v>0</v>
      </c>
      <c r="AC10" s="11">
        <v>0</v>
      </c>
      <c r="AD10" s="11">
        <v>0</v>
      </c>
      <c r="AE10" s="61">
        <f t="shared" si="0"/>
        <v>-1.25</v>
      </c>
      <c r="AF10" s="57" t="s">
        <v>41</v>
      </c>
      <c r="AG10" s="2"/>
      <c r="AH10">
        <v>5</v>
      </c>
      <c r="AI10">
        <v>0</v>
      </c>
      <c r="AJ10">
        <v>0</v>
      </c>
      <c r="AK10">
        <v>0</v>
      </c>
      <c r="AL10">
        <v>10</v>
      </c>
      <c r="AM10">
        <v>10</v>
      </c>
      <c r="AN10">
        <v>0</v>
      </c>
      <c r="AO10">
        <v>-5</v>
      </c>
      <c r="AP10" s="61">
        <f t="shared" si="1"/>
        <v>2.5</v>
      </c>
      <c r="AQ10" s="4" t="s">
        <v>41</v>
      </c>
      <c r="AR10" s="2"/>
      <c r="AS10">
        <v>5</v>
      </c>
      <c r="AT10">
        <v>5</v>
      </c>
      <c r="AU10" s="3"/>
      <c r="AV10" s="63">
        <v>100</v>
      </c>
      <c r="AW10" s="63">
        <v>45</v>
      </c>
      <c r="AX10" s="64">
        <v>100</v>
      </c>
      <c r="AY10" s="64">
        <v>45</v>
      </c>
      <c r="AZ10" s="3"/>
      <c r="BA10" s="11">
        <v>0</v>
      </c>
      <c r="BB10" s="65">
        <v>5</v>
      </c>
      <c r="BC10" s="65">
        <v>-5</v>
      </c>
      <c r="BD10" s="65">
        <v>-5</v>
      </c>
      <c r="BE10" s="3"/>
      <c r="BF10" s="65">
        <v>-5</v>
      </c>
      <c r="BG10" s="65">
        <v>10</v>
      </c>
      <c r="BH10" s="65">
        <v>0</v>
      </c>
      <c r="BI10" s="65">
        <v>-5</v>
      </c>
      <c r="BJ10" s="3"/>
      <c r="BK10" s="49">
        <v>70</v>
      </c>
      <c r="BL10" s="49">
        <v>55</v>
      </c>
      <c r="BM10" s="65">
        <v>80</v>
      </c>
      <c r="BN10" s="49">
        <v>70</v>
      </c>
      <c r="BO10" s="49">
        <v>65</v>
      </c>
      <c r="BP10" s="49">
        <v>35</v>
      </c>
      <c r="BQ10" s="69">
        <f t="shared" si="2"/>
        <v>62.5</v>
      </c>
      <c r="BR10" s="3"/>
      <c r="BS10" s="49">
        <v>70</v>
      </c>
      <c r="BT10" s="49">
        <v>65</v>
      </c>
      <c r="BU10" s="50">
        <v>80</v>
      </c>
      <c r="BV10" s="49">
        <v>75</v>
      </c>
      <c r="BW10" s="49">
        <v>75</v>
      </c>
      <c r="BX10" s="49">
        <v>55</v>
      </c>
      <c r="BY10" s="72">
        <f t="shared" si="3"/>
        <v>70</v>
      </c>
      <c r="BZ10" s="3"/>
      <c r="CA10" s="73" t="s">
        <v>283</v>
      </c>
      <c r="CB10" s="73" t="s">
        <v>284</v>
      </c>
      <c r="CC10" s="231" t="s">
        <v>285</v>
      </c>
      <c r="CD10" s="231">
        <v>22</v>
      </c>
      <c r="CE10" s="231"/>
      <c r="CF10" s="231"/>
      <c r="CG10" s="3"/>
      <c r="CH10" t="s">
        <v>281</v>
      </c>
      <c r="CI10" t="s">
        <v>281</v>
      </c>
      <c r="CJ10" s="97"/>
      <c r="CK10" s="69">
        <v>62.5</v>
      </c>
      <c r="CL10" s="97"/>
      <c r="CM10" s="313">
        <f t="shared" si="4"/>
        <v>65</v>
      </c>
      <c r="CN10" s="313">
        <f t="shared" si="5"/>
        <v>55</v>
      </c>
      <c r="CO10" s="313">
        <f t="shared" si="6"/>
        <v>80</v>
      </c>
      <c r="CP10" s="313">
        <f t="shared" si="7"/>
        <v>75</v>
      </c>
      <c r="CQ10" s="313">
        <f t="shared" si="8"/>
        <v>65</v>
      </c>
      <c r="CR10" s="313">
        <f>BP10-AD10</f>
        <v>35</v>
      </c>
      <c r="CS10" s="97"/>
      <c r="CT10">
        <f t="shared" si="9"/>
        <v>65</v>
      </c>
      <c r="CU10">
        <f t="shared" si="10"/>
        <v>65</v>
      </c>
      <c r="CV10">
        <f t="shared" si="11"/>
        <v>80</v>
      </c>
      <c r="CW10">
        <f t="shared" si="12"/>
        <v>75</v>
      </c>
      <c r="CX10">
        <f t="shared" si="13"/>
        <v>65</v>
      </c>
      <c r="CY10">
        <f>BX10-AO10</f>
        <v>60</v>
      </c>
      <c r="CZ10" s="97"/>
    </row>
    <row r="11" spans="1:108" ht="16" x14ac:dyDescent="0.2">
      <c r="A11" s="44" t="s">
        <v>85</v>
      </c>
      <c r="B11" s="99">
        <v>404953</v>
      </c>
      <c r="C11">
        <v>767328</v>
      </c>
      <c r="E11" t="s">
        <v>59</v>
      </c>
      <c r="F11" s="21">
        <f>DATE(2025,4,23)</f>
        <v>45770</v>
      </c>
      <c r="G11" s="21"/>
      <c r="H11" s="21"/>
      <c r="I11" s="21"/>
      <c r="J11" s="21"/>
      <c r="O11" s="2"/>
      <c r="P11" s="102">
        <v>0</v>
      </c>
      <c r="Q11" s="174">
        <v>1</v>
      </c>
      <c r="R11" s="174">
        <v>1</v>
      </c>
      <c r="S11" s="175">
        <v>0</v>
      </c>
      <c r="T11" s="175">
        <v>0</v>
      </c>
      <c r="U11" s="175"/>
      <c r="V11" s="2"/>
      <c r="W11" s="11">
        <v>5</v>
      </c>
      <c r="X11" s="11">
        <v>15</v>
      </c>
      <c r="Y11" s="11">
        <v>15</v>
      </c>
      <c r="Z11" s="11">
        <v>15</v>
      </c>
      <c r="AA11" s="49">
        <v>35</v>
      </c>
      <c r="AB11" s="11">
        <v>25</v>
      </c>
      <c r="AC11" s="11">
        <v>15</v>
      </c>
      <c r="AD11" s="11">
        <v>5</v>
      </c>
      <c r="AE11" s="61">
        <f t="shared" si="0"/>
        <v>17.5</v>
      </c>
      <c r="AF11" s="52" t="s">
        <v>46</v>
      </c>
      <c r="AG11" s="2"/>
      <c r="AH11">
        <v>10</v>
      </c>
      <c r="AI11">
        <v>15</v>
      </c>
      <c r="AJ11">
        <v>15</v>
      </c>
      <c r="AK11">
        <v>20</v>
      </c>
      <c r="AL11">
        <v>25</v>
      </c>
      <c r="AM11">
        <v>25</v>
      </c>
      <c r="AN11">
        <v>20</v>
      </c>
      <c r="AO11" s="30">
        <v>35</v>
      </c>
      <c r="AP11" s="61">
        <f t="shared" si="1"/>
        <v>18.75</v>
      </c>
      <c r="AQ11" s="227" t="s">
        <v>46</v>
      </c>
      <c r="AR11" s="2"/>
      <c r="AS11">
        <v>10</v>
      </c>
      <c r="AT11">
        <v>10</v>
      </c>
      <c r="AU11" s="3"/>
      <c r="AV11" s="63">
        <v>96</v>
      </c>
      <c r="AW11" s="63">
        <v>50</v>
      </c>
      <c r="AX11" s="64">
        <v>100</v>
      </c>
      <c r="AY11" s="64">
        <v>50</v>
      </c>
      <c r="AZ11" s="3"/>
      <c r="BA11" s="49">
        <v>30</v>
      </c>
      <c r="BB11" s="49">
        <v>35</v>
      </c>
      <c r="BC11" s="49">
        <v>45</v>
      </c>
      <c r="BD11" s="49">
        <v>35</v>
      </c>
      <c r="BE11" s="3"/>
      <c r="BF11" s="49">
        <v>35</v>
      </c>
      <c r="BG11" s="49">
        <v>45</v>
      </c>
      <c r="BH11" s="49">
        <v>50</v>
      </c>
      <c r="BI11" s="49">
        <v>45</v>
      </c>
      <c r="BJ11" s="3"/>
      <c r="BK11" s="65">
        <v>110</v>
      </c>
      <c r="BL11" s="65">
        <v>115</v>
      </c>
      <c r="BM11" s="65">
        <v>115</v>
      </c>
      <c r="BN11" s="65">
        <v>115</v>
      </c>
      <c r="BO11" s="65">
        <v>115</v>
      </c>
      <c r="BP11" s="65" t="s">
        <v>286</v>
      </c>
      <c r="BQ11" s="70">
        <f t="shared" si="2"/>
        <v>114</v>
      </c>
      <c r="BR11" s="3"/>
      <c r="BS11" s="11">
        <v>110</v>
      </c>
      <c r="BT11" s="11">
        <v>115</v>
      </c>
      <c r="BU11" s="11">
        <v>105</v>
      </c>
      <c r="BV11" s="11">
        <v>115</v>
      </c>
      <c r="BW11" s="11">
        <v>115</v>
      </c>
      <c r="BX11" s="11" t="s">
        <v>286</v>
      </c>
      <c r="BY11" s="71">
        <f t="shared" si="3"/>
        <v>112</v>
      </c>
      <c r="BZ11" s="3"/>
      <c r="CA11" s="433" t="s">
        <v>287</v>
      </c>
      <c r="CB11" s="433"/>
      <c r="CC11" s="433"/>
      <c r="CD11" s="433"/>
      <c r="CE11" s="433"/>
      <c r="CF11" s="433"/>
      <c r="CG11" s="3"/>
      <c r="CH11" t="s">
        <v>281</v>
      </c>
      <c r="CI11" t="s">
        <v>281</v>
      </c>
      <c r="CJ11" s="97"/>
      <c r="CK11" s="71">
        <v>112</v>
      </c>
      <c r="CL11" s="97"/>
      <c r="CM11" s="313">
        <f t="shared" si="4"/>
        <v>105</v>
      </c>
      <c r="CN11" s="313">
        <f t="shared" si="5"/>
        <v>100</v>
      </c>
      <c r="CO11" s="313">
        <f t="shared" si="6"/>
        <v>100</v>
      </c>
      <c r="CP11" s="313">
        <f t="shared" si="7"/>
        <v>100</v>
      </c>
      <c r="CQ11" s="313">
        <f t="shared" si="8"/>
        <v>90</v>
      </c>
      <c r="CR11" s="313"/>
      <c r="CS11" s="97"/>
      <c r="CT11">
        <f t="shared" si="9"/>
        <v>100</v>
      </c>
      <c r="CU11">
        <f t="shared" si="10"/>
        <v>100</v>
      </c>
      <c r="CV11">
        <f t="shared" si="11"/>
        <v>90</v>
      </c>
      <c r="CW11">
        <f t="shared" si="12"/>
        <v>95</v>
      </c>
      <c r="CX11">
        <f t="shared" si="13"/>
        <v>90</v>
      </c>
      <c r="CZ11" s="97"/>
    </row>
    <row r="12" spans="1:108" ht="16" x14ac:dyDescent="0.2">
      <c r="A12" s="44" t="s">
        <v>86</v>
      </c>
      <c r="B12">
        <v>638390</v>
      </c>
      <c r="E12" t="s">
        <v>60</v>
      </c>
      <c r="F12" s="21">
        <f>DATE(2025,4,19)</f>
        <v>45766</v>
      </c>
      <c r="G12" s="21"/>
      <c r="H12" s="21"/>
      <c r="I12" s="21"/>
      <c r="J12" s="21"/>
      <c r="O12" s="2"/>
      <c r="P12" s="102">
        <v>0</v>
      </c>
      <c r="Q12" s="175">
        <v>0</v>
      </c>
      <c r="R12" s="175">
        <v>0</v>
      </c>
      <c r="S12" s="174">
        <v>1</v>
      </c>
      <c r="T12" s="175">
        <v>0</v>
      </c>
      <c r="U12" s="175"/>
      <c r="V12" s="2"/>
      <c r="W12" s="11">
        <v>0</v>
      </c>
      <c r="X12" s="11">
        <v>0</v>
      </c>
      <c r="Y12" s="11">
        <v>0</v>
      </c>
      <c r="Z12" s="11">
        <v>5</v>
      </c>
      <c r="AA12" s="11">
        <v>5</v>
      </c>
      <c r="AB12" s="11">
        <v>5</v>
      </c>
      <c r="AC12" s="11">
        <v>15</v>
      </c>
      <c r="AD12" s="11">
        <v>10</v>
      </c>
      <c r="AE12" s="61">
        <f t="shared" si="0"/>
        <v>2.5</v>
      </c>
      <c r="AF12" s="57" t="s">
        <v>41</v>
      </c>
      <c r="AG12" s="2"/>
      <c r="AH12">
        <v>0</v>
      </c>
      <c r="AI12">
        <v>0</v>
      </c>
      <c r="AJ12">
        <v>0</v>
      </c>
      <c r="AK12">
        <v>10</v>
      </c>
      <c r="AL12">
        <v>10</v>
      </c>
      <c r="AM12">
        <v>25</v>
      </c>
      <c r="AN12">
        <v>20</v>
      </c>
      <c r="AO12">
        <v>5</v>
      </c>
      <c r="AP12" s="61">
        <f t="shared" si="1"/>
        <v>8.75</v>
      </c>
      <c r="AQ12" s="4" t="s">
        <v>41</v>
      </c>
      <c r="AR12" s="2"/>
      <c r="AS12">
        <v>5</v>
      </c>
      <c r="AT12">
        <v>5</v>
      </c>
      <c r="AU12" s="3"/>
      <c r="AV12" s="63">
        <v>92</v>
      </c>
      <c r="AW12" s="63">
        <v>45</v>
      </c>
      <c r="AX12" s="64">
        <v>96</v>
      </c>
      <c r="AY12" s="64">
        <v>45</v>
      </c>
      <c r="AZ12" s="3"/>
      <c r="BA12" s="11">
        <v>0</v>
      </c>
      <c r="BB12" s="11">
        <v>0</v>
      </c>
      <c r="BC12" s="11">
        <v>10</v>
      </c>
      <c r="BD12" s="11">
        <v>5</v>
      </c>
      <c r="BE12" s="3"/>
      <c r="BF12" s="11">
        <v>-5</v>
      </c>
      <c r="BG12" s="11">
        <v>0</v>
      </c>
      <c r="BH12" s="11">
        <v>-5</v>
      </c>
      <c r="BI12" s="11">
        <v>15</v>
      </c>
      <c r="BJ12" s="3"/>
      <c r="BK12" s="11">
        <v>95</v>
      </c>
      <c r="BL12" s="11">
        <v>80</v>
      </c>
      <c r="BM12" s="11">
        <v>110</v>
      </c>
      <c r="BN12" s="11">
        <v>95</v>
      </c>
      <c r="BO12" s="11">
        <v>95</v>
      </c>
      <c r="BP12" s="11">
        <v>90</v>
      </c>
      <c r="BQ12" s="70">
        <f t="shared" si="2"/>
        <v>94.166666666666671</v>
      </c>
      <c r="BR12" s="3"/>
      <c r="BS12" s="11">
        <v>100</v>
      </c>
      <c r="BT12" s="11">
        <v>100</v>
      </c>
      <c r="BU12" s="11">
        <v>100</v>
      </c>
      <c r="BV12" s="11">
        <v>95</v>
      </c>
      <c r="BW12" s="11">
        <v>90</v>
      </c>
      <c r="BX12" s="49">
        <v>75</v>
      </c>
      <c r="BY12" s="71">
        <f t="shared" si="3"/>
        <v>93.333333333333329</v>
      </c>
      <c r="BZ12" s="3"/>
      <c r="CA12" s="433" t="s">
        <v>280</v>
      </c>
      <c r="CB12" s="433"/>
      <c r="CC12" s="433"/>
      <c r="CD12" s="433"/>
      <c r="CE12" s="433"/>
      <c r="CF12" s="433"/>
      <c r="CG12" s="3"/>
      <c r="CH12" t="s">
        <v>281</v>
      </c>
      <c r="CI12" t="s">
        <v>281</v>
      </c>
      <c r="CJ12" s="97"/>
      <c r="CK12" s="71">
        <v>93.333333333333329</v>
      </c>
      <c r="CL12" s="97"/>
      <c r="CM12" s="313">
        <f t="shared" si="4"/>
        <v>95</v>
      </c>
      <c r="CN12" s="313">
        <f t="shared" si="5"/>
        <v>80</v>
      </c>
      <c r="CO12" s="313">
        <f t="shared" si="6"/>
        <v>110</v>
      </c>
      <c r="CP12" s="313">
        <f t="shared" si="7"/>
        <v>90</v>
      </c>
      <c r="CQ12" s="313">
        <f t="shared" si="8"/>
        <v>90</v>
      </c>
      <c r="CR12" s="313">
        <f t="shared" ref="CR12:CR21" si="14">BP12-AD12</f>
        <v>80</v>
      </c>
      <c r="CS12" s="97"/>
      <c r="CT12">
        <f t="shared" si="9"/>
        <v>100</v>
      </c>
      <c r="CU12">
        <f t="shared" si="10"/>
        <v>100</v>
      </c>
      <c r="CV12">
        <f t="shared" si="11"/>
        <v>100</v>
      </c>
      <c r="CW12">
        <f t="shared" si="12"/>
        <v>85</v>
      </c>
      <c r="CX12">
        <f t="shared" si="13"/>
        <v>65</v>
      </c>
      <c r="CY12">
        <f t="shared" ref="CY12:CY35" si="15">BX12-AO12</f>
        <v>70</v>
      </c>
      <c r="CZ12" s="97"/>
    </row>
    <row r="13" spans="1:108" ht="16" x14ac:dyDescent="0.2">
      <c r="A13" s="44" t="s">
        <v>87</v>
      </c>
      <c r="B13">
        <v>680171</v>
      </c>
      <c r="E13" t="s">
        <v>61</v>
      </c>
      <c r="F13" s="21">
        <f>DATE(2025,6,20)</f>
        <v>45828</v>
      </c>
      <c r="G13" s="21"/>
      <c r="H13" s="21"/>
      <c r="I13" s="21"/>
      <c r="J13" s="21"/>
      <c r="O13" s="2"/>
      <c r="P13" s="102">
        <v>0</v>
      </c>
      <c r="Q13" s="174">
        <v>1</v>
      </c>
      <c r="R13" s="175">
        <v>0</v>
      </c>
      <c r="S13" s="175">
        <v>0</v>
      </c>
      <c r="T13" s="175">
        <v>0</v>
      </c>
      <c r="U13" s="175"/>
      <c r="V13" s="2"/>
      <c r="W13" s="11">
        <v>0</v>
      </c>
      <c r="X13" s="11">
        <v>5</v>
      </c>
      <c r="Y13" s="11">
        <v>10</v>
      </c>
      <c r="Z13" s="11">
        <v>20</v>
      </c>
      <c r="AA13" s="11">
        <v>20</v>
      </c>
      <c r="AB13" s="49">
        <v>30</v>
      </c>
      <c r="AC13" s="49">
        <v>40</v>
      </c>
      <c r="AD13" s="49">
        <v>60</v>
      </c>
      <c r="AE13" s="61">
        <f t="shared" si="0"/>
        <v>16.25</v>
      </c>
      <c r="AF13" s="52" t="s">
        <v>46</v>
      </c>
      <c r="AG13" s="2"/>
      <c r="AH13">
        <v>10</v>
      </c>
      <c r="AI13">
        <v>10</v>
      </c>
      <c r="AJ13">
        <v>15</v>
      </c>
      <c r="AK13">
        <v>10</v>
      </c>
      <c r="AL13">
        <v>25</v>
      </c>
      <c r="AM13" s="30">
        <v>30</v>
      </c>
      <c r="AN13" s="30">
        <v>30</v>
      </c>
      <c r="AO13" s="30">
        <v>50</v>
      </c>
      <c r="AP13" s="61">
        <f t="shared" si="1"/>
        <v>16.25</v>
      </c>
      <c r="AQ13" s="227" t="s">
        <v>46</v>
      </c>
      <c r="AR13" s="2"/>
      <c r="AS13">
        <v>25</v>
      </c>
      <c r="AT13">
        <v>25</v>
      </c>
      <c r="AU13" s="3"/>
      <c r="AV13" s="63">
        <v>96</v>
      </c>
      <c r="AW13" s="63">
        <v>65</v>
      </c>
      <c r="AX13" s="64">
        <v>84</v>
      </c>
      <c r="AY13" s="64">
        <v>65</v>
      </c>
      <c r="AZ13" s="3"/>
      <c r="BA13" s="49">
        <v>60</v>
      </c>
      <c r="BB13" s="49">
        <v>75</v>
      </c>
      <c r="BC13" s="49">
        <v>80</v>
      </c>
      <c r="BD13" s="66">
        <v>60</v>
      </c>
      <c r="BE13" s="3"/>
      <c r="BF13" s="49">
        <v>65</v>
      </c>
      <c r="BG13" s="49">
        <v>80</v>
      </c>
      <c r="BH13" s="66">
        <v>80</v>
      </c>
      <c r="BI13" s="66">
        <v>60</v>
      </c>
      <c r="BJ13" s="3"/>
      <c r="BK13" s="11">
        <v>110</v>
      </c>
      <c r="BL13" s="11">
        <v>115</v>
      </c>
      <c r="BM13" s="11">
        <v>100</v>
      </c>
      <c r="BN13" s="11">
        <v>115</v>
      </c>
      <c r="BO13" s="11">
        <v>115</v>
      </c>
      <c r="BP13" s="11">
        <v>105</v>
      </c>
      <c r="BQ13" s="70">
        <f t="shared" si="2"/>
        <v>110</v>
      </c>
      <c r="BR13" s="3"/>
      <c r="BS13" s="11">
        <v>110</v>
      </c>
      <c r="BT13" s="11">
        <v>115</v>
      </c>
      <c r="BU13" s="11">
        <v>120</v>
      </c>
      <c r="BV13" s="11">
        <v>115</v>
      </c>
      <c r="BW13" s="11">
        <v>115</v>
      </c>
      <c r="BX13" s="11">
        <v>105</v>
      </c>
      <c r="BY13" s="71">
        <f t="shared" si="3"/>
        <v>113.33333333333333</v>
      </c>
      <c r="BZ13" s="3"/>
      <c r="CA13" s="433" t="s">
        <v>280</v>
      </c>
      <c r="CB13" s="433"/>
      <c r="CC13" s="433"/>
      <c r="CD13" s="433"/>
      <c r="CE13" s="433"/>
      <c r="CF13" s="433"/>
      <c r="CG13" s="3"/>
      <c r="CH13" t="s">
        <v>281</v>
      </c>
      <c r="CI13" t="s">
        <v>281</v>
      </c>
      <c r="CJ13" s="97"/>
      <c r="CK13" s="70">
        <v>110</v>
      </c>
      <c r="CL13" s="97"/>
      <c r="CM13" s="313">
        <f t="shared" si="4"/>
        <v>110</v>
      </c>
      <c r="CN13" s="313">
        <f t="shared" si="5"/>
        <v>110</v>
      </c>
      <c r="CO13" s="313">
        <f t="shared" si="6"/>
        <v>90</v>
      </c>
      <c r="CP13" s="313">
        <f t="shared" si="7"/>
        <v>95</v>
      </c>
      <c r="CQ13" s="313">
        <f t="shared" si="8"/>
        <v>85</v>
      </c>
      <c r="CR13" s="313">
        <f t="shared" si="14"/>
        <v>45</v>
      </c>
      <c r="CS13" s="97"/>
      <c r="CT13">
        <f t="shared" si="9"/>
        <v>100</v>
      </c>
      <c r="CU13">
        <f t="shared" si="10"/>
        <v>105</v>
      </c>
      <c r="CV13">
        <f t="shared" si="11"/>
        <v>105</v>
      </c>
      <c r="CW13">
        <f t="shared" si="12"/>
        <v>105</v>
      </c>
      <c r="CX13">
        <f t="shared" si="13"/>
        <v>85</v>
      </c>
      <c r="CY13">
        <f t="shared" si="15"/>
        <v>55</v>
      </c>
      <c r="CZ13" s="97"/>
    </row>
    <row r="14" spans="1:108" ht="16" x14ac:dyDescent="0.2">
      <c r="A14" s="44" t="s">
        <v>88</v>
      </c>
      <c r="B14">
        <v>446052</v>
      </c>
      <c r="E14" t="s">
        <v>62</v>
      </c>
      <c r="F14" s="21">
        <f>DATE(2025,7,15)</f>
        <v>45853</v>
      </c>
      <c r="G14" s="21"/>
      <c r="H14" s="21"/>
      <c r="I14" s="21"/>
      <c r="J14" s="21"/>
      <c r="O14" s="2"/>
      <c r="P14" s="102">
        <v>0</v>
      </c>
      <c r="Q14" s="175">
        <v>0</v>
      </c>
      <c r="R14" s="175">
        <v>0</v>
      </c>
      <c r="S14" s="174">
        <v>1</v>
      </c>
      <c r="T14" s="175">
        <v>0</v>
      </c>
      <c r="U14" s="175"/>
      <c r="V14" s="2"/>
      <c r="W14" s="11">
        <v>10</v>
      </c>
      <c r="X14" s="11">
        <v>5</v>
      </c>
      <c r="Y14" s="11">
        <v>10</v>
      </c>
      <c r="Z14" s="11">
        <v>5</v>
      </c>
      <c r="AA14" s="11">
        <v>15</v>
      </c>
      <c r="AB14" s="11">
        <v>0</v>
      </c>
      <c r="AC14" s="11">
        <v>5</v>
      </c>
      <c r="AD14" s="11">
        <v>0</v>
      </c>
      <c r="AE14" s="61">
        <f t="shared" si="0"/>
        <v>5</v>
      </c>
      <c r="AF14" s="57" t="s">
        <v>41</v>
      </c>
      <c r="AG14" s="2"/>
      <c r="AH14">
        <v>10</v>
      </c>
      <c r="AI14">
        <v>10</v>
      </c>
      <c r="AJ14">
        <v>5</v>
      </c>
      <c r="AK14">
        <v>5</v>
      </c>
      <c r="AL14">
        <v>10</v>
      </c>
      <c r="AM14">
        <v>10</v>
      </c>
      <c r="AN14">
        <v>0</v>
      </c>
      <c r="AO14">
        <v>-5</v>
      </c>
      <c r="AP14" s="61">
        <f t="shared" si="1"/>
        <v>7.5</v>
      </c>
      <c r="AQ14" s="4" t="s">
        <v>41</v>
      </c>
      <c r="AR14" s="2"/>
      <c r="AS14">
        <v>10</v>
      </c>
      <c r="AT14">
        <v>10</v>
      </c>
      <c r="AU14" s="3"/>
      <c r="AV14" s="63">
        <v>96</v>
      </c>
      <c r="AW14" s="63">
        <v>50</v>
      </c>
      <c r="AX14" s="64">
        <v>100</v>
      </c>
      <c r="AY14" s="64">
        <v>50</v>
      </c>
      <c r="AZ14" s="3"/>
      <c r="BA14" s="11">
        <v>0</v>
      </c>
      <c r="BB14" s="65">
        <v>0</v>
      </c>
      <c r="BC14" s="65">
        <v>15</v>
      </c>
      <c r="BD14" s="65">
        <v>-5</v>
      </c>
      <c r="BE14" s="3"/>
      <c r="BF14" s="65">
        <v>-10</v>
      </c>
      <c r="BG14" s="65">
        <v>-10</v>
      </c>
      <c r="BH14" s="65">
        <v>-10</v>
      </c>
      <c r="BI14" s="65">
        <v>-10</v>
      </c>
      <c r="BJ14" s="3"/>
      <c r="BK14" s="65">
        <v>80</v>
      </c>
      <c r="BL14" s="65">
        <v>80</v>
      </c>
      <c r="BM14" s="49">
        <v>75</v>
      </c>
      <c r="BN14" s="65">
        <v>85</v>
      </c>
      <c r="BO14" s="65">
        <v>80</v>
      </c>
      <c r="BP14" s="49">
        <v>70</v>
      </c>
      <c r="BQ14" s="69">
        <f t="shared" si="2"/>
        <v>78.333333333333329</v>
      </c>
      <c r="BR14" s="3"/>
      <c r="BS14" s="11">
        <v>80</v>
      </c>
      <c r="BT14" s="49">
        <v>70</v>
      </c>
      <c r="BU14" s="49">
        <v>70</v>
      </c>
      <c r="BV14" s="49">
        <v>65</v>
      </c>
      <c r="BW14" s="11">
        <v>80</v>
      </c>
      <c r="BX14" s="49">
        <v>60</v>
      </c>
      <c r="BY14" s="72">
        <f t="shared" si="3"/>
        <v>70.833333333333329</v>
      </c>
      <c r="BZ14" s="3"/>
      <c r="CA14" s="433" t="s">
        <v>280</v>
      </c>
      <c r="CB14" s="433"/>
      <c r="CC14" s="433"/>
      <c r="CD14" s="433"/>
      <c r="CE14" s="433"/>
      <c r="CF14" s="433"/>
      <c r="CG14" s="3"/>
      <c r="CH14" t="s">
        <v>281</v>
      </c>
      <c r="CI14" t="s">
        <v>281</v>
      </c>
      <c r="CJ14" s="97"/>
      <c r="CK14" s="72">
        <v>70.833333333333329</v>
      </c>
      <c r="CL14" s="97"/>
      <c r="CM14" s="313">
        <f t="shared" si="4"/>
        <v>70</v>
      </c>
      <c r="CN14" s="313">
        <f t="shared" si="5"/>
        <v>75</v>
      </c>
      <c r="CO14" s="313">
        <f t="shared" si="6"/>
        <v>65</v>
      </c>
      <c r="CP14" s="313">
        <f t="shared" si="7"/>
        <v>80</v>
      </c>
      <c r="CQ14" s="313">
        <f t="shared" si="8"/>
        <v>80</v>
      </c>
      <c r="CR14" s="313">
        <f t="shared" si="14"/>
        <v>70</v>
      </c>
      <c r="CS14" s="97"/>
      <c r="CT14">
        <f t="shared" si="9"/>
        <v>70</v>
      </c>
      <c r="CU14">
        <f t="shared" si="10"/>
        <v>60</v>
      </c>
      <c r="CV14">
        <f t="shared" si="11"/>
        <v>65</v>
      </c>
      <c r="CW14">
        <f t="shared" si="12"/>
        <v>60</v>
      </c>
      <c r="CX14">
        <f t="shared" si="13"/>
        <v>70</v>
      </c>
      <c r="CY14">
        <f t="shared" si="15"/>
        <v>65</v>
      </c>
      <c r="CZ14" s="97"/>
    </row>
    <row r="15" spans="1:108" ht="16" x14ac:dyDescent="0.2">
      <c r="A15" s="44" t="s">
        <v>89</v>
      </c>
      <c r="B15">
        <v>594544</v>
      </c>
      <c r="E15" t="s">
        <v>63</v>
      </c>
      <c r="F15" s="21">
        <f>DATE(2025,7,10)</f>
        <v>45848</v>
      </c>
      <c r="G15" s="21"/>
      <c r="H15" s="21"/>
      <c r="I15" s="21"/>
      <c r="J15" s="21"/>
      <c r="O15" s="2"/>
      <c r="P15" s="102">
        <v>0</v>
      </c>
      <c r="Q15" s="174">
        <v>1</v>
      </c>
      <c r="R15" s="175">
        <v>0</v>
      </c>
      <c r="S15" s="175">
        <v>0</v>
      </c>
      <c r="T15" s="175">
        <v>0</v>
      </c>
      <c r="U15" s="175"/>
      <c r="V15" s="2"/>
      <c r="W15" s="11">
        <v>15</v>
      </c>
      <c r="X15" s="11">
        <v>15</v>
      </c>
      <c r="Y15" s="11">
        <v>20</v>
      </c>
      <c r="Z15" s="49">
        <v>40</v>
      </c>
      <c r="AA15" s="11">
        <v>15</v>
      </c>
      <c r="AB15" s="11">
        <v>10</v>
      </c>
      <c r="AC15" s="11">
        <v>0</v>
      </c>
      <c r="AD15" s="11">
        <v>5</v>
      </c>
      <c r="AE15" s="61">
        <f t="shared" si="0"/>
        <v>21.25</v>
      </c>
      <c r="AF15" s="52" t="s">
        <v>46</v>
      </c>
      <c r="AG15" s="2"/>
      <c r="AH15">
        <v>15</v>
      </c>
      <c r="AI15">
        <v>20</v>
      </c>
      <c r="AJ15">
        <v>25</v>
      </c>
      <c r="AK15" s="30">
        <v>40</v>
      </c>
      <c r="AL15">
        <v>25</v>
      </c>
      <c r="AM15">
        <v>0</v>
      </c>
      <c r="AN15">
        <v>15</v>
      </c>
      <c r="AO15">
        <v>10</v>
      </c>
      <c r="AP15" s="61">
        <f t="shared" si="1"/>
        <v>21.25</v>
      </c>
      <c r="AQ15" s="227" t="s">
        <v>46</v>
      </c>
      <c r="AR15" s="2"/>
      <c r="AS15">
        <v>20</v>
      </c>
      <c r="AT15">
        <v>20</v>
      </c>
      <c r="AU15" s="3"/>
      <c r="AV15" s="63">
        <v>92</v>
      </c>
      <c r="AW15" s="63">
        <v>60</v>
      </c>
      <c r="AX15" s="64">
        <v>100</v>
      </c>
      <c r="AY15" s="64">
        <v>60</v>
      </c>
      <c r="AZ15" s="3"/>
      <c r="BA15" s="11">
        <v>0</v>
      </c>
      <c r="BB15" s="65">
        <v>5</v>
      </c>
      <c r="BC15" s="65">
        <v>0</v>
      </c>
      <c r="BD15" s="65">
        <v>10</v>
      </c>
      <c r="BE15" s="3"/>
      <c r="BF15" s="65">
        <v>0</v>
      </c>
      <c r="BG15" s="65">
        <v>10</v>
      </c>
      <c r="BH15" s="65">
        <v>15</v>
      </c>
      <c r="BI15" s="65">
        <v>25</v>
      </c>
      <c r="BJ15" s="3"/>
      <c r="BK15" s="49">
        <v>75</v>
      </c>
      <c r="BL15" s="65">
        <v>85</v>
      </c>
      <c r="BM15" s="65">
        <v>85</v>
      </c>
      <c r="BN15" s="65">
        <v>95</v>
      </c>
      <c r="BO15" s="65">
        <v>80</v>
      </c>
      <c r="BP15" s="65">
        <v>80</v>
      </c>
      <c r="BQ15" s="70">
        <f t="shared" si="2"/>
        <v>83.333333333333329</v>
      </c>
      <c r="BR15" s="3"/>
      <c r="BS15" s="65">
        <v>80</v>
      </c>
      <c r="BT15" s="65">
        <v>85</v>
      </c>
      <c r="BU15" s="65">
        <v>85</v>
      </c>
      <c r="BV15" s="65">
        <v>90</v>
      </c>
      <c r="BW15" s="65">
        <v>85</v>
      </c>
      <c r="BX15" s="65">
        <v>80</v>
      </c>
      <c r="BY15" s="71">
        <f t="shared" si="3"/>
        <v>84.166666666666671</v>
      </c>
      <c r="BZ15" s="3"/>
      <c r="CA15" s="433" t="s">
        <v>280</v>
      </c>
      <c r="CB15" s="433"/>
      <c r="CC15" s="433"/>
      <c r="CD15" s="433"/>
      <c r="CE15" s="433"/>
      <c r="CF15" s="433"/>
      <c r="CG15" s="3"/>
      <c r="CH15" t="s">
        <v>281</v>
      </c>
      <c r="CI15" t="s">
        <v>281</v>
      </c>
      <c r="CJ15" s="97"/>
      <c r="CK15" s="70">
        <v>83.333333333333329</v>
      </c>
      <c r="CL15" s="97"/>
      <c r="CM15" s="313">
        <f t="shared" si="4"/>
        <v>60</v>
      </c>
      <c r="CN15" s="313">
        <f t="shared" si="5"/>
        <v>70</v>
      </c>
      <c r="CO15" s="313">
        <f t="shared" si="6"/>
        <v>65</v>
      </c>
      <c r="CP15" s="313">
        <f t="shared" si="7"/>
        <v>55</v>
      </c>
      <c r="CQ15" s="313">
        <f t="shared" si="8"/>
        <v>70</v>
      </c>
      <c r="CR15" s="313">
        <f t="shared" si="14"/>
        <v>75</v>
      </c>
      <c r="CS15" s="97"/>
      <c r="CT15">
        <f t="shared" si="9"/>
        <v>65</v>
      </c>
      <c r="CU15">
        <f t="shared" si="10"/>
        <v>65</v>
      </c>
      <c r="CV15">
        <f t="shared" si="11"/>
        <v>60</v>
      </c>
      <c r="CW15">
        <f t="shared" si="12"/>
        <v>50</v>
      </c>
      <c r="CX15">
        <f t="shared" si="13"/>
        <v>85</v>
      </c>
      <c r="CY15">
        <f t="shared" si="15"/>
        <v>70</v>
      </c>
      <c r="CZ15" s="97"/>
    </row>
    <row r="16" spans="1:108" ht="16" customHeight="1" x14ac:dyDescent="0.2">
      <c r="A16" s="44" t="s">
        <v>90</v>
      </c>
      <c r="B16">
        <v>606716</v>
      </c>
      <c r="E16" t="s">
        <v>64</v>
      </c>
      <c r="F16" s="21">
        <f>DATE(2025,7,3)</f>
        <v>45841</v>
      </c>
      <c r="G16" s="21"/>
      <c r="H16" s="21"/>
      <c r="I16" s="21"/>
      <c r="J16" s="21" t="s">
        <v>288</v>
      </c>
      <c r="O16" s="2"/>
      <c r="P16" s="102">
        <v>0</v>
      </c>
      <c r="Q16" s="175">
        <v>0</v>
      </c>
      <c r="R16" s="175">
        <v>0</v>
      </c>
      <c r="S16" s="174">
        <v>1</v>
      </c>
      <c r="T16" s="175">
        <v>0</v>
      </c>
      <c r="U16" s="175"/>
      <c r="V16" s="2"/>
      <c r="W16">
        <v>5</v>
      </c>
      <c r="X16">
        <v>0</v>
      </c>
      <c r="Y16">
        <v>5</v>
      </c>
      <c r="Z16">
        <v>10</v>
      </c>
      <c r="AA16">
        <v>10</v>
      </c>
      <c r="AB16">
        <v>5</v>
      </c>
      <c r="AC16">
        <v>10</v>
      </c>
      <c r="AD16">
        <v>10</v>
      </c>
      <c r="AE16" s="61">
        <f t="shared" si="0"/>
        <v>5</v>
      </c>
      <c r="AF16" s="57" t="s">
        <v>41</v>
      </c>
      <c r="AG16" s="2"/>
      <c r="AH16">
        <v>0</v>
      </c>
      <c r="AI16">
        <v>-5</v>
      </c>
      <c r="AJ16">
        <v>5</v>
      </c>
      <c r="AK16">
        <v>10</v>
      </c>
      <c r="AL16">
        <v>5</v>
      </c>
      <c r="AM16">
        <v>5</v>
      </c>
      <c r="AN16">
        <v>10</v>
      </c>
      <c r="AO16">
        <v>0</v>
      </c>
      <c r="AP16" s="61">
        <f t="shared" si="1"/>
        <v>3.75</v>
      </c>
      <c r="AQ16" s="4" t="s">
        <v>41</v>
      </c>
      <c r="AR16" s="2"/>
      <c r="AS16">
        <v>10</v>
      </c>
      <c r="AT16">
        <v>10</v>
      </c>
      <c r="AU16" s="3"/>
      <c r="AV16" s="63">
        <v>100</v>
      </c>
      <c r="AW16" s="63">
        <v>50</v>
      </c>
      <c r="AX16" s="64">
        <v>100</v>
      </c>
      <c r="AY16" s="64">
        <v>50</v>
      </c>
      <c r="AZ16" s="3"/>
      <c r="BA16" s="11">
        <v>0</v>
      </c>
      <c r="BB16" s="11">
        <v>-5</v>
      </c>
      <c r="BC16" s="11">
        <v>-5</v>
      </c>
      <c r="BD16" s="11">
        <v>5</v>
      </c>
      <c r="BE16" s="3"/>
      <c r="BF16" s="11">
        <v>-5</v>
      </c>
      <c r="BG16" s="11">
        <v>-10</v>
      </c>
      <c r="BH16" s="11">
        <v>-5</v>
      </c>
      <c r="BI16" s="11">
        <v>-10</v>
      </c>
      <c r="BJ16" s="3"/>
      <c r="BK16" s="11">
        <v>110</v>
      </c>
      <c r="BL16" s="11">
        <v>115</v>
      </c>
      <c r="BM16" s="11">
        <v>95</v>
      </c>
      <c r="BN16" s="11">
        <v>95</v>
      </c>
      <c r="BO16" s="11">
        <v>85</v>
      </c>
      <c r="BP16" s="11">
        <v>90</v>
      </c>
      <c r="BQ16" s="70">
        <f t="shared" si="2"/>
        <v>98.333333333333329</v>
      </c>
      <c r="BR16" s="3"/>
      <c r="BS16" s="11">
        <v>105</v>
      </c>
      <c r="BT16" s="11">
        <v>100</v>
      </c>
      <c r="BU16" s="11">
        <v>85</v>
      </c>
      <c r="BV16" s="11">
        <v>90</v>
      </c>
      <c r="BW16" s="11">
        <v>85</v>
      </c>
      <c r="BX16" s="11">
        <v>80</v>
      </c>
      <c r="BY16" s="71">
        <f t="shared" si="3"/>
        <v>90.833333333333329</v>
      </c>
      <c r="BZ16" s="3"/>
      <c r="CA16" s="433" t="s">
        <v>280</v>
      </c>
      <c r="CB16" s="433"/>
      <c r="CC16" s="433"/>
      <c r="CD16" s="433"/>
      <c r="CE16" s="433"/>
      <c r="CF16" s="433"/>
      <c r="CG16" s="3"/>
      <c r="CH16" t="s">
        <v>281</v>
      </c>
      <c r="CI16" t="s">
        <v>281</v>
      </c>
      <c r="CJ16" s="97"/>
      <c r="CK16" s="71">
        <v>90.833333333333329</v>
      </c>
      <c r="CL16" s="97"/>
      <c r="CM16" s="313">
        <f t="shared" si="4"/>
        <v>105</v>
      </c>
      <c r="CN16" s="313">
        <f t="shared" si="5"/>
        <v>115</v>
      </c>
      <c r="CO16" s="313">
        <f t="shared" si="6"/>
        <v>90</v>
      </c>
      <c r="CP16" s="313">
        <f t="shared" si="7"/>
        <v>85</v>
      </c>
      <c r="CQ16" s="313">
        <f t="shared" si="8"/>
        <v>80</v>
      </c>
      <c r="CR16" s="313">
        <f t="shared" si="14"/>
        <v>80</v>
      </c>
      <c r="CS16" s="97"/>
      <c r="CT16">
        <f t="shared" si="9"/>
        <v>105</v>
      </c>
      <c r="CU16">
        <f t="shared" si="10"/>
        <v>105</v>
      </c>
      <c r="CV16">
        <f t="shared" si="11"/>
        <v>80</v>
      </c>
      <c r="CW16">
        <f t="shared" si="12"/>
        <v>80</v>
      </c>
      <c r="CX16">
        <f t="shared" si="13"/>
        <v>80</v>
      </c>
      <c r="CY16">
        <f t="shared" si="15"/>
        <v>80</v>
      </c>
      <c r="CZ16" s="97"/>
    </row>
    <row r="17" spans="1:104" ht="16" x14ac:dyDescent="0.2">
      <c r="A17" s="44" t="s">
        <v>91</v>
      </c>
      <c r="B17">
        <v>364837</v>
      </c>
      <c r="D17">
        <v>269120</v>
      </c>
      <c r="E17" t="s">
        <v>65</v>
      </c>
      <c r="F17" s="21">
        <f>DATE(2025,7,14)</f>
        <v>45852</v>
      </c>
      <c r="G17" s="21"/>
      <c r="H17" s="21">
        <v>46171</v>
      </c>
      <c r="I17" s="21"/>
      <c r="J17" s="21"/>
      <c r="O17" s="2"/>
      <c r="P17" s="102">
        <v>0</v>
      </c>
      <c r="Q17" s="174">
        <v>1</v>
      </c>
      <c r="R17" s="174">
        <v>1</v>
      </c>
      <c r="S17" s="174">
        <v>1</v>
      </c>
      <c r="T17" s="174">
        <v>1</v>
      </c>
      <c r="U17" s="174"/>
      <c r="V17" s="2"/>
      <c r="W17" s="49">
        <v>50</v>
      </c>
      <c r="X17" s="49">
        <v>55</v>
      </c>
      <c r="Y17" s="49">
        <v>55</v>
      </c>
      <c r="Z17" s="49">
        <v>45</v>
      </c>
      <c r="AA17" s="49">
        <v>35</v>
      </c>
      <c r="AB17" s="11">
        <v>25</v>
      </c>
      <c r="AC17" s="11">
        <v>25</v>
      </c>
      <c r="AD17" s="49">
        <v>35</v>
      </c>
      <c r="AE17" s="60">
        <f t="shared" si="0"/>
        <v>45</v>
      </c>
      <c r="AF17" s="52" t="s">
        <v>46</v>
      </c>
      <c r="AG17" s="2"/>
      <c r="AH17" s="49">
        <v>40</v>
      </c>
      <c r="AI17" s="49">
        <v>45</v>
      </c>
      <c r="AJ17" s="49">
        <v>40</v>
      </c>
      <c r="AK17" s="11">
        <v>25</v>
      </c>
      <c r="AL17" s="11">
        <v>15</v>
      </c>
      <c r="AM17" s="11">
        <v>15</v>
      </c>
      <c r="AN17" s="11">
        <v>10</v>
      </c>
      <c r="AO17" s="11">
        <v>20</v>
      </c>
      <c r="AP17" s="60">
        <f t="shared" si="1"/>
        <v>31.25</v>
      </c>
      <c r="AQ17" s="227" t="s">
        <v>46</v>
      </c>
      <c r="AR17" s="2"/>
      <c r="AS17" s="30">
        <v>45</v>
      </c>
      <c r="AT17" s="30">
        <v>35</v>
      </c>
      <c r="AU17" s="3"/>
      <c r="AV17" s="63">
        <v>92</v>
      </c>
      <c r="AW17" s="63">
        <v>80</v>
      </c>
      <c r="AX17" s="64">
        <v>96</v>
      </c>
      <c r="AY17" s="64">
        <v>75</v>
      </c>
      <c r="AZ17" s="3"/>
      <c r="BA17" s="49">
        <v>50</v>
      </c>
      <c r="BB17" s="49">
        <v>75</v>
      </c>
      <c r="BC17" s="49">
        <v>75</v>
      </c>
      <c r="BD17" s="49">
        <v>55</v>
      </c>
      <c r="BE17" s="3"/>
      <c r="BF17" s="49">
        <v>40</v>
      </c>
      <c r="BG17" s="49">
        <v>65</v>
      </c>
      <c r="BH17" s="30">
        <v>60</v>
      </c>
      <c r="BI17" s="30">
        <v>55</v>
      </c>
      <c r="BJ17" s="3"/>
      <c r="BK17" s="11">
        <v>90</v>
      </c>
      <c r="BL17" s="11">
        <v>100</v>
      </c>
      <c r="BM17" s="11">
        <v>95</v>
      </c>
      <c r="BN17" s="11">
        <v>90</v>
      </c>
      <c r="BO17" s="11">
        <v>90</v>
      </c>
      <c r="BP17" s="11">
        <v>80</v>
      </c>
      <c r="BQ17" s="70">
        <f t="shared" si="2"/>
        <v>90.833333333333329</v>
      </c>
      <c r="BR17" s="3"/>
      <c r="BS17" s="49">
        <v>75</v>
      </c>
      <c r="BT17" s="11">
        <v>85</v>
      </c>
      <c r="BU17" s="11">
        <v>80</v>
      </c>
      <c r="BV17" s="49">
        <v>65</v>
      </c>
      <c r="BW17" s="49">
        <v>60</v>
      </c>
      <c r="BX17" s="49">
        <v>55</v>
      </c>
      <c r="BY17" s="72">
        <f t="shared" si="3"/>
        <v>70</v>
      </c>
      <c r="BZ17" s="3"/>
      <c r="CA17" s="73" t="s">
        <v>283</v>
      </c>
      <c r="CB17" s="73" t="s">
        <v>296</v>
      </c>
      <c r="CC17" s="74">
        <v>16000</v>
      </c>
      <c r="CD17" s="73">
        <v>13</v>
      </c>
      <c r="CE17" s="73"/>
      <c r="CF17" s="73"/>
      <c r="CG17" s="3"/>
      <c r="CH17" t="s">
        <v>281</v>
      </c>
      <c r="CI17" t="s">
        <v>281</v>
      </c>
      <c r="CJ17" s="97"/>
      <c r="CK17" s="72">
        <v>70</v>
      </c>
      <c r="CL17" s="97"/>
      <c r="CM17" s="313">
        <f t="shared" si="4"/>
        <v>40</v>
      </c>
      <c r="CN17" s="313">
        <f t="shared" si="5"/>
        <v>45</v>
      </c>
      <c r="CO17" s="313">
        <f t="shared" si="6"/>
        <v>40</v>
      </c>
      <c r="CP17" s="313">
        <f t="shared" si="7"/>
        <v>45</v>
      </c>
      <c r="CQ17" s="313">
        <f t="shared" si="8"/>
        <v>65</v>
      </c>
      <c r="CR17" s="313">
        <f t="shared" si="14"/>
        <v>45</v>
      </c>
      <c r="CS17" s="97"/>
      <c r="CT17">
        <f t="shared" si="9"/>
        <v>35</v>
      </c>
      <c r="CU17">
        <f t="shared" si="10"/>
        <v>40</v>
      </c>
      <c r="CV17">
        <f t="shared" si="11"/>
        <v>40</v>
      </c>
      <c r="CW17">
        <f t="shared" si="12"/>
        <v>40</v>
      </c>
      <c r="CX17">
        <f t="shared" si="13"/>
        <v>45</v>
      </c>
      <c r="CY17">
        <f t="shared" si="15"/>
        <v>35</v>
      </c>
      <c r="CZ17" s="97"/>
    </row>
    <row r="18" spans="1:104" ht="16" x14ac:dyDescent="0.2">
      <c r="A18" s="44" t="s">
        <v>92</v>
      </c>
      <c r="B18">
        <v>240600</v>
      </c>
      <c r="E18" t="s">
        <v>66</v>
      </c>
      <c r="F18" s="21">
        <f>DATE(2025,7,21)</f>
        <v>45859</v>
      </c>
      <c r="G18" s="21"/>
      <c r="H18" s="21"/>
      <c r="I18" s="21"/>
      <c r="J18" s="21"/>
      <c r="O18" s="2"/>
      <c r="P18" s="102">
        <v>0</v>
      </c>
      <c r="Q18" s="174">
        <v>1</v>
      </c>
      <c r="R18" s="174">
        <v>1</v>
      </c>
      <c r="S18" s="174">
        <v>1</v>
      </c>
      <c r="T18" s="175">
        <v>0</v>
      </c>
      <c r="U18" s="175"/>
      <c r="V18" s="2"/>
      <c r="W18" s="11">
        <v>20</v>
      </c>
      <c r="X18" s="49">
        <v>30</v>
      </c>
      <c r="Y18" s="49">
        <v>40</v>
      </c>
      <c r="Z18" s="49">
        <v>40</v>
      </c>
      <c r="AA18" s="49">
        <v>35</v>
      </c>
      <c r="AB18" s="49">
        <v>40</v>
      </c>
      <c r="AC18" s="49">
        <v>55</v>
      </c>
      <c r="AD18" s="49">
        <v>60</v>
      </c>
      <c r="AE18" s="60">
        <f t="shared" si="0"/>
        <v>37.5</v>
      </c>
      <c r="AF18" s="52" t="s">
        <v>46</v>
      </c>
      <c r="AG18" s="2"/>
      <c r="AH18" s="50">
        <v>25</v>
      </c>
      <c r="AI18" s="30">
        <v>30</v>
      </c>
      <c r="AJ18" s="30">
        <v>40</v>
      </c>
      <c r="AK18" s="30">
        <v>35</v>
      </c>
      <c r="AL18" s="30">
        <v>40</v>
      </c>
      <c r="AM18" s="30">
        <v>40</v>
      </c>
      <c r="AN18" s="30">
        <v>50</v>
      </c>
      <c r="AO18" s="30">
        <v>75</v>
      </c>
      <c r="AP18" s="60">
        <f t="shared" si="1"/>
        <v>36.25</v>
      </c>
      <c r="AQ18" s="227" t="s">
        <v>46</v>
      </c>
      <c r="AR18" s="2"/>
      <c r="AS18" s="30">
        <v>35</v>
      </c>
      <c r="AT18" s="30">
        <v>40</v>
      </c>
      <c r="AU18" s="3"/>
      <c r="AV18" s="63">
        <v>100</v>
      </c>
      <c r="AW18" s="63">
        <v>75</v>
      </c>
      <c r="AX18" s="64">
        <v>100</v>
      </c>
      <c r="AY18" s="64">
        <v>75</v>
      </c>
      <c r="AZ18" s="3"/>
      <c r="BA18" s="30">
        <v>60</v>
      </c>
      <c r="BB18" s="30">
        <v>65</v>
      </c>
      <c r="BC18" s="30">
        <v>70</v>
      </c>
      <c r="BD18" s="30">
        <v>60</v>
      </c>
      <c r="BE18" s="3"/>
      <c r="BF18" s="49">
        <v>75</v>
      </c>
      <c r="BG18" s="49">
        <v>90</v>
      </c>
      <c r="BH18" s="66">
        <v>80</v>
      </c>
      <c r="BI18" s="66">
        <v>60</v>
      </c>
      <c r="BJ18" s="3"/>
      <c r="BK18" s="11">
        <v>100</v>
      </c>
      <c r="BL18" s="11">
        <v>100</v>
      </c>
      <c r="BM18" s="11">
        <v>95</v>
      </c>
      <c r="BN18" s="11">
        <v>95</v>
      </c>
      <c r="BO18" s="11">
        <v>95</v>
      </c>
      <c r="BP18" s="11">
        <v>105</v>
      </c>
      <c r="BQ18" s="70">
        <f t="shared" si="2"/>
        <v>98.333333333333329</v>
      </c>
      <c r="BR18" s="3"/>
      <c r="BS18" s="11">
        <v>100</v>
      </c>
      <c r="BT18" s="11">
        <v>95</v>
      </c>
      <c r="BU18" s="11">
        <v>100</v>
      </c>
      <c r="BV18" s="11">
        <v>110</v>
      </c>
      <c r="BW18" s="11">
        <v>110</v>
      </c>
      <c r="BX18" s="11">
        <v>105</v>
      </c>
      <c r="BY18" s="71">
        <f t="shared" si="3"/>
        <v>103.33333333333333</v>
      </c>
      <c r="BZ18" s="3"/>
      <c r="CG18" s="3"/>
      <c r="CH18" t="s">
        <v>281</v>
      </c>
      <c r="CI18" t="s">
        <v>281</v>
      </c>
      <c r="CJ18" s="97"/>
      <c r="CK18" s="70">
        <v>98.333333333333329</v>
      </c>
      <c r="CL18" s="97"/>
      <c r="CM18" s="313">
        <f t="shared" si="4"/>
        <v>80</v>
      </c>
      <c r="CN18" s="313">
        <f t="shared" si="5"/>
        <v>70</v>
      </c>
      <c r="CO18" s="313">
        <f t="shared" si="6"/>
        <v>55</v>
      </c>
      <c r="CP18" s="313">
        <f t="shared" si="7"/>
        <v>55</v>
      </c>
      <c r="CQ18" s="313">
        <f t="shared" si="8"/>
        <v>55</v>
      </c>
      <c r="CR18" s="313">
        <f t="shared" si="14"/>
        <v>45</v>
      </c>
      <c r="CS18" s="97"/>
      <c r="CT18">
        <f t="shared" si="9"/>
        <v>75</v>
      </c>
      <c r="CU18">
        <f t="shared" si="10"/>
        <v>65</v>
      </c>
      <c r="CV18">
        <f t="shared" si="11"/>
        <v>60</v>
      </c>
      <c r="CW18">
        <f t="shared" si="12"/>
        <v>75</v>
      </c>
      <c r="CX18">
        <f t="shared" si="13"/>
        <v>70</v>
      </c>
      <c r="CY18">
        <f t="shared" si="15"/>
        <v>30</v>
      </c>
      <c r="CZ18" s="97"/>
    </row>
    <row r="19" spans="1:104" ht="16" customHeight="1" x14ac:dyDescent="0.2">
      <c r="A19" t="s">
        <v>93</v>
      </c>
      <c r="B19">
        <v>905742</v>
      </c>
      <c r="E19" t="s">
        <v>67</v>
      </c>
      <c r="F19" s="21">
        <f>DATE(2025,7,24)</f>
        <v>45862</v>
      </c>
      <c r="G19" s="21"/>
      <c r="H19" s="21"/>
      <c r="I19" s="21"/>
      <c r="J19" s="21"/>
      <c r="O19" s="2"/>
      <c r="P19" s="102">
        <v>0</v>
      </c>
      <c r="Q19" s="175">
        <v>0</v>
      </c>
      <c r="R19" s="175">
        <v>0</v>
      </c>
      <c r="S19" s="174">
        <v>1</v>
      </c>
      <c r="T19" s="174">
        <v>1</v>
      </c>
      <c r="U19" s="174"/>
      <c r="V19" s="2"/>
      <c r="W19" s="11">
        <v>5</v>
      </c>
      <c r="X19">
        <v>0</v>
      </c>
      <c r="Y19">
        <v>-5</v>
      </c>
      <c r="Z19" s="50">
        <v>0</v>
      </c>
      <c r="AA19">
        <v>5</v>
      </c>
      <c r="AB19" s="11">
        <v>0</v>
      </c>
      <c r="AC19" s="11">
        <v>5</v>
      </c>
      <c r="AD19">
        <v>5</v>
      </c>
      <c r="AE19" s="61">
        <f t="shared" si="0"/>
        <v>-1.25</v>
      </c>
      <c r="AF19" s="57" t="s">
        <v>41</v>
      </c>
      <c r="AG19" s="2"/>
      <c r="AH19">
        <v>5</v>
      </c>
      <c r="AI19">
        <v>0</v>
      </c>
      <c r="AJ19">
        <v>0</v>
      </c>
      <c r="AK19">
        <v>0</v>
      </c>
      <c r="AL19">
        <v>15</v>
      </c>
      <c r="AM19">
        <v>10</v>
      </c>
      <c r="AN19">
        <v>5</v>
      </c>
      <c r="AO19">
        <v>15</v>
      </c>
      <c r="AP19" s="61">
        <f t="shared" si="1"/>
        <v>2.5</v>
      </c>
      <c r="AQ19" s="4" t="s">
        <v>41</v>
      </c>
      <c r="AR19" s="2"/>
      <c r="AS19">
        <v>0</v>
      </c>
      <c r="AT19">
        <v>5</v>
      </c>
      <c r="AU19" s="3"/>
      <c r="AV19" s="63">
        <v>96</v>
      </c>
      <c r="AW19" s="63">
        <v>40</v>
      </c>
      <c r="AX19" s="64">
        <v>100</v>
      </c>
      <c r="AY19" s="64">
        <v>45</v>
      </c>
      <c r="AZ19" s="3"/>
      <c r="BA19" s="11">
        <v>5</v>
      </c>
      <c r="BB19" s="11">
        <v>25</v>
      </c>
      <c r="BC19" s="49">
        <v>50</v>
      </c>
      <c r="BD19" s="49">
        <v>55</v>
      </c>
      <c r="BE19" s="3"/>
      <c r="BF19" s="11">
        <v>5</v>
      </c>
      <c r="BG19" s="49">
        <v>40</v>
      </c>
      <c r="BH19" s="49">
        <v>60</v>
      </c>
      <c r="BI19" s="49">
        <v>55</v>
      </c>
      <c r="BJ19" s="3"/>
      <c r="BK19" s="11">
        <v>100</v>
      </c>
      <c r="BL19" s="11">
        <v>110</v>
      </c>
      <c r="BM19" s="11">
        <v>115</v>
      </c>
      <c r="BN19" s="11">
        <v>95</v>
      </c>
      <c r="BO19" s="11">
        <v>95</v>
      </c>
      <c r="BP19" s="11">
        <v>90</v>
      </c>
      <c r="BQ19" s="70">
        <f t="shared" si="2"/>
        <v>100.83333333333333</v>
      </c>
      <c r="BR19" s="3"/>
      <c r="BS19" s="11">
        <v>110</v>
      </c>
      <c r="BT19" s="11">
        <v>110</v>
      </c>
      <c r="BU19" s="11">
        <v>95</v>
      </c>
      <c r="BV19" s="11">
        <v>95</v>
      </c>
      <c r="BW19" s="11">
        <v>100</v>
      </c>
      <c r="BX19" s="11">
        <v>100</v>
      </c>
      <c r="BY19" s="71">
        <f t="shared" si="3"/>
        <v>101.66666666666667</v>
      </c>
      <c r="BZ19" s="3"/>
      <c r="CA19" s="433" t="s">
        <v>280</v>
      </c>
      <c r="CB19" s="433"/>
      <c r="CC19" s="433"/>
      <c r="CD19" s="433"/>
      <c r="CE19" s="433"/>
      <c r="CF19" s="433"/>
      <c r="CG19" s="3"/>
      <c r="CH19" t="s">
        <v>281</v>
      </c>
      <c r="CI19" t="s">
        <v>281</v>
      </c>
      <c r="CJ19" s="97"/>
      <c r="CK19" s="70">
        <v>100.83333333333333</v>
      </c>
      <c r="CL19" s="97"/>
      <c r="CM19" s="313">
        <f t="shared" si="4"/>
        <v>95</v>
      </c>
      <c r="CN19" s="313">
        <f t="shared" si="5"/>
        <v>110</v>
      </c>
      <c r="CO19" s="313">
        <f t="shared" si="6"/>
        <v>120</v>
      </c>
      <c r="CP19" s="313">
        <f t="shared" si="7"/>
        <v>95</v>
      </c>
      <c r="CQ19" s="313">
        <f t="shared" si="8"/>
        <v>95</v>
      </c>
      <c r="CR19" s="313">
        <f t="shared" si="14"/>
        <v>85</v>
      </c>
      <c r="CS19" s="97"/>
      <c r="CT19">
        <f t="shared" si="9"/>
        <v>105</v>
      </c>
      <c r="CU19">
        <f t="shared" si="10"/>
        <v>110</v>
      </c>
      <c r="CV19">
        <f t="shared" si="11"/>
        <v>95</v>
      </c>
      <c r="CW19">
        <f t="shared" si="12"/>
        <v>95</v>
      </c>
      <c r="CX19">
        <f t="shared" si="13"/>
        <v>90</v>
      </c>
      <c r="CY19">
        <f t="shared" si="15"/>
        <v>85</v>
      </c>
      <c r="CZ19" s="97"/>
    </row>
    <row r="20" spans="1:104" ht="16" customHeight="1" x14ac:dyDescent="0.2">
      <c r="A20" s="44" t="s">
        <v>94</v>
      </c>
      <c r="B20">
        <v>187767</v>
      </c>
      <c r="E20" t="s">
        <v>68</v>
      </c>
      <c r="F20" s="21">
        <f>DATE(2025,8,5)</f>
        <v>45874</v>
      </c>
      <c r="G20" s="21"/>
      <c r="H20" s="21"/>
      <c r="I20" s="21"/>
      <c r="J20" s="21"/>
      <c r="O20" s="2"/>
      <c r="P20" s="102">
        <v>0</v>
      </c>
      <c r="Q20" s="174">
        <v>0</v>
      </c>
      <c r="R20" s="175">
        <v>0</v>
      </c>
      <c r="S20" s="174">
        <v>1</v>
      </c>
      <c r="T20" s="175">
        <v>0</v>
      </c>
      <c r="U20" s="175"/>
      <c r="V20" s="2"/>
      <c r="W20" s="50">
        <v>10</v>
      </c>
      <c r="X20" s="22">
        <v>10</v>
      </c>
      <c r="Y20" s="22">
        <v>5</v>
      </c>
      <c r="Z20" s="50">
        <v>20</v>
      </c>
      <c r="AA20" s="22">
        <v>15</v>
      </c>
      <c r="AB20" s="22">
        <v>10</v>
      </c>
      <c r="AC20" s="22">
        <v>5</v>
      </c>
      <c r="AD20" s="22">
        <v>5</v>
      </c>
      <c r="AE20" s="61">
        <f t="shared" si="0"/>
        <v>11.25</v>
      </c>
      <c r="AF20" s="57" t="s">
        <v>41</v>
      </c>
      <c r="AG20" s="2"/>
      <c r="AH20" s="22">
        <v>0</v>
      </c>
      <c r="AI20" s="22">
        <v>5</v>
      </c>
      <c r="AJ20" s="22">
        <v>5</v>
      </c>
      <c r="AK20" s="22">
        <v>15</v>
      </c>
      <c r="AL20" s="22">
        <v>15</v>
      </c>
      <c r="AM20" s="22">
        <v>10</v>
      </c>
      <c r="AN20" s="22">
        <v>15</v>
      </c>
      <c r="AO20" s="22">
        <v>10</v>
      </c>
      <c r="AP20" s="61">
        <f t="shared" si="1"/>
        <v>8.75</v>
      </c>
      <c r="AQ20" s="4" t="s">
        <v>41</v>
      </c>
      <c r="AR20" s="2"/>
      <c r="AS20">
        <v>15</v>
      </c>
      <c r="AT20">
        <v>10</v>
      </c>
      <c r="AU20" s="3"/>
      <c r="AV20" s="63">
        <v>100</v>
      </c>
      <c r="AW20" s="63">
        <v>55</v>
      </c>
      <c r="AX20" s="64">
        <v>100</v>
      </c>
      <c r="AY20" s="64">
        <v>50</v>
      </c>
      <c r="AZ20" s="3"/>
      <c r="BA20" s="11">
        <v>5</v>
      </c>
      <c r="BB20" s="11">
        <v>15</v>
      </c>
      <c r="BC20" s="49">
        <v>35</v>
      </c>
      <c r="BD20" s="49">
        <v>30</v>
      </c>
      <c r="BE20" s="3"/>
      <c r="BF20" s="11">
        <v>10</v>
      </c>
      <c r="BG20" s="11">
        <v>15</v>
      </c>
      <c r="BH20" s="11">
        <v>25</v>
      </c>
      <c r="BI20" s="49">
        <v>40</v>
      </c>
      <c r="BJ20" s="3"/>
      <c r="BK20" s="11">
        <v>110</v>
      </c>
      <c r="BL20" s="11">
        <v>110</v>
      </c>
      <c r="BM20" s="11">
        <v>110</v>
      </c>
      <c r="BN20" s="11">
        <v>110</v>
      </c>
      <c r="BO20" s="11">
        <v>90</v>
      </c>
      <c r="BP20" s="11">
        <v>80</v>
      </c>
      <c r="BQ20" s="70">
        <f t="shared" si="2"/>
        <v>101.66666666666667</v>
      </c>
      <c r="BR20" s="3"/>
      <c r="BS20" s="11">
        <v>110</v>
      </c>
      <c r="BT20" s="11">
        <v>95</v>
      </c>
      <c r="BU20" s="11">
        <v>90</v>
      </c>
      <c r="BV20" s="11">
        <v>95</v>
      </c>
      <c r="BW20" s="11">
        <v>110</v>
      </c>
      <c r="BX20" s="11">
        <v>90</v>
      </c>
      <c r="BY20" s="71">
        <f t="shared" si="3"/>
        <v>98.333333333333329</v>
      </c>
      <c r="BZ20" s="3"/>
      <c r="CA20" s="433" t="s">
        <v>280</v>
      </c>
      <c r="CB20" s="433"/>
      <c r="CC20" s="433"/>
      <c r="CD20" s="433"/>
      <c r="CE20" s="433"/>
      <c r="CF20" s="433"/>
      <c r="CG20" s="3"/>
      <c r="CH20" t="s">
        <v>281</v>
      </c>
      <c r="CI20" t="s">
        <v>279</v>
      </c>
      <c r="CJ20" s="97"/>
      <c r="CK20" s="71">
        <v>98.333333333333329</v>
      </c>
      <c r="CL20" s="97"/>
      <c r="CM20" s="313">
        <f t="shared" si="4"/>
        <v>100</v>
      </c>
      <c r="CN20" s="313">
        <f t="shared" si="5"/>
        <v>100</v>
      </c>
      <c r="CO20" s="313">
        <f t="shared" si="6"/>
        <v>105</v>
      </c>
      <c r="CP20" s="313">
        <f t="shared" si="7"/>
        <v>90</v>
      </c>
      <c r="CQ20" s="313">
        <f t="shared" si="8"/>
        <v>80</v>
      </c>
      <c r="CR20" s="313">
        <f t="shared" si="14"/>
        <v>75</v>
      </c>
      <c r="CS20" s="97"/>
      <c r="CT20">
        <f t="shared" si="9"/>
        <v>110</v>
      </c>
      <c r="CU20">
        <f t="shared" si="10"/>
        <v>90</v>
      </c>
      <c r="CV20">
        <f t="shared" si="11"/>
        <v>85</v>
      </c>
      <c r="CW20">
        <f t="shared" si="12"/>
        <v>80</v>
      </c>
      <c r="CX20">
        <f t="shared" si="13"/>
        <v>100</v>
      </c>
      <c r="CY20">
        <f t="shared" si="15"/>
        <v>80</v>
      </c>
      <c r="CZ20" s="97"/>
    </row>
    <row r="21" spans="1:104" ht="16" customHeight="1" x14ac:dyDescent="0.2">
      <c r="A21" s="44" t="s">
        <v>95</v>
      </c>
      <c r="B21">
        <v>533201</v>
      </c>
      <c r="E21" t="s">
        <v>69</v>
      </c>
      <c r="F21" s="21">
        <f>DATE(2025,8,12)</f>
        <v>45881</v>
      </c>
      <c r="G21" s="21"/>
      <c r="H21" s="21"/>
      <c r="I21" s="21"/>
      <c r="J21" s="21"/>
      <c r="O21" s="2"/>
      <c r="P21" s="102">
        <v>0</v>
      </c>
      <c r="Q21" s="174">
        <v>1</v>
      </c>
      <c r="R21" s="175">
        <v>0</v>
      </c>
      <c r="S21" s="174">
        <v>1</v>
      </c>
      <c r="T21" s="174">
        <v>0</v>
      </c>
      <c r="U21" s="174"/>
      <c r="V21" s="2"/>
      <c r="W21">
        <v>10</v>
      </c>
      <c r="X21">
        <v>10</v>
      </c>
      <c r="Y21">
        <v>5</v>
      </c>
      <c r="Z21">
        <v>0</v>
      </c>
      <c r="AA21">
        <v>20</v>
      </c>
      <c r="AB21" s="30">
        <v>30</v>
      </c>
      <c r="AC21">
        <v>25</v>
      </c>
      <c r="AD21" s="30">
        <v>40</v>
      </c>
      <c r="AE21" s="61">
        <f t="shared" si="0"/>
        <v>11.25</v>
      </c>
      <c r="AF21" s="52" t="s">
        <v>46</v>
      </c>
      <c r="AG21" s="2"/>
      <c r="AH21">
        <v>15</v>
      </c>
      <c r="AI21">
        <v>5</v>
      </c>
      <c r="AJ21">
        <v>0</v>
      </c>
      <c r="AK21">
        <v>10</v>
      </c>
      <c r="AL21" s="30">
        <v>35</v>
      </c>
      <c r="AM21" s="30">
        <v>40</v>
      </c>
      <c r="AN21" s="30">
        <v>40</v>
      </c>
      <c r="AO21" s="30">
        <v>45</v>
      </c>
      <c r="AP21" s="61">
        <f t="shared" si="1"/>
        <v>13.75</v>
      </c>
      <c r="AQ21" s="227" t="s">
        <v>46</v>
      </c>
      <c r="AR21" s="2"/>
      <c r="AS21">
        <v>5</v>
      </c>
      <c r="AT21">
        <v>10</v>
      </c>
      <c r="AU21" s="3"/>
      <c r="AV21" s="63">
        <v>92</v>
      </c>
      <c r="AW21" s="63">
        <v>45</v>
      </c>
      <c r="AX21" s="64">
        <v>96</v>
      </c>
      <c r="AY21" s="64">
        <v>50</v>
      </c>
      <c r="AZ21" s="3"/>
      <c r="BA21" s="49">
        <v>50</v>
      </c>
      <c r="BB21" s="49">
        <v>60</v>
      </c>
      <c r="BC21" s="49">
        <v>65</v>
      </c>
      <c r="BD21" s="49">
        <v>60</v>
      </c>
      <c r="BE21" s="3"/>
      <c r="BF21" s="49">
        <v>50</v>
      </c>
      <c r="BG21" s="49">
        <v>60</v>
      </c>
      <c r="BH21" s="49">
        <v>65</v>
      </c>
      <c r="BI21" s="49">
        <v>60</v>
      </c>
      <c r="BJ21" s="3"/>
      <c r="BK21" s="11">
        <v>110</v>
      </c>
      <c r="BL21" s="11">
        <v>115</v>
      </c>
      <c r="BM21" s="11">
        <v>115</v>
      </c>
      <c r="BN21" s="11">
        <v>115</v>
      </c>
      <c r="BO21" s="11">
        <v>115</v>
      </c>
      <c r="BP21" s="11">
        <v>105</v>
      </c>
      <c r="BQ21" s="70">
        <f t="shared" si="2"/>
        <v>112.5</v>
      </c>
      <c r="BR21" s="3"/>
      <c r="BS21" s="11">
        <v>110</v>
      </c>
      <c r="BT21" s="11">
        <v>115</v>
      </c>
      <c r="BU21" s="11">
        <v>100</v>
      </c>
      <c r="BV21" s="11">
        <v>100</v>
      </c>
      <c r="BW21" s="11">
        <v>115</v>
      </c>
      <c r="BX21" s="11">
        <v>105</v>
      </c>
      <c r="BY21" s="71">
        <f t="shared" si="3"/>
        <v>107.5</v>
      </c>
      <c r="BZ21" s="3"/>
      <c r="CA21" s="433" t="s">
        <v>280</v>
      </c>
      <c r="CB21" s="433"/>
      <c r="CC21" s="433"/>
      <c r="CD21" s="433"/>
      <c r="CE21" s="433"/>
      <c r="CF21" s="433"/>
      <c r="CG21" s="3"/>
      <c r="CH21" t="s">
        <v>281</v>
      </c>
      <c r="CI21" t="s">
        <v>281</v>
      </c>
      <c r="CJ21" s="97"/>
      <c r="CK21" s="71">
        <v>107.5</v>
      </c>
      <c r="CL21" s="97"/>
      <c r="CM21" s="313">
        <f t="shared" si="4"/>
        <v>100</v>
      </c>
      <c r="CN21" s="313">
        <f t="shared" si="5"/>
        <v>105</v>
      </c>
      <c r="CO21" s="313">
        <f t="shared" si="6"/>
        <v>110</v>
      </c>
      <c r="CP21" s="313">
        <f t="shared" si="7"/>
        <v>115</v>
      </c>
      <c r="CQ21" s="313">
        <f t="shared" si="8"/>
        <v>85</v>
      </c>
      <c r="CR21" s="313">
        <f t="shared" si="14"/>
        <v>65</v>
      </c>
      <c r="CS21" s="97"/>
      <c r="CT21">
        <f t="shared" si="9"/>
        <v>95</v>
      </c>
      <c r="CU21">
        <f t="shared" si="10"/>
        <v>110</v>
      </c>
      <c r="CV21">
        <f t="shared" si="11"/>
        <v>100</v>
      </c>
      <c r="CW21">
        <f t="shared" si="12"/>
        <v>90</v>
      </c>
      <c r="CX21">
        <f t="shared" si="13"/>
        <v>75</v>
      </c>
      <c r="CY21">
        <f t="shared" si="15"/>
        <v>60</v>
      </c>
      <c r="CZ21" s="97"/>
    </row>
    <row r="22" spans="1:104" ht="16" customHeight="1" x14ac:dyDescent="0.2">
      <c r="A22" s="44" t="s">
        <v>96</v>
      </c>
      <c r="B22">
        <v>764333</v>
      </c>
      <c r="E22" t="s">
        <v>70</v>
      </c>
      <c r="F22" s="21">
        <f>DATE(2025,9,12)</f>
        <v>45912</v>
      </c>
      <c r="G22" s="21"/>
      <c r="H22" s="21"/>
      <c r="I22" s="21"/>
      <c r="J22" s="21"/>
      <c r="O22" s="2"/>
      <c r="P22" s="102">
        <v>0</v>
      </c>
      <c r="Q22" s="174">
        <v>1</v>
      </c>
      <c r="R22" s="175">
        <v>0</v>
      </c>
      <c r="S22" s="174">
        <v>1</v>
      </c>
      <c r="T22" s="174">
        <v>0</v>
      </c>
      <c r="U22" s="174"/>
      <c r="V22" s="2"/>
      <c r="W22" s="30">
        <v>105</v>
      </c>
      <c r="X22" s="51">
        <v>105</v>
      </c>
      <c r="Y22" s="51">
        <v>105</v>
      </c>
      <c r="Z22" s="30">
        <v>100</v>
      </c>
      <c r="AA22" s="51">
        <v>105</v>
      </c>
      <c r="AB22" s="51">
        <v>105</v>
      </c>
      <c r="AC22" s="51">
        <v>105</v>
      </c>
      <c r="AD22" s="51">
        <v>105</v>
      </c>
      <c r="AE22" s="60">
        <f t="shared" si="0"/>
        <v>103.75</v>
      </c>
      <c r="AF22" s="52" t="s">
        <v>46</v>
      </c>
      <c r="AG22" s="2"/>
      <c r="AH22">
        <v>5</v>
      </c>
      <c r="AI22">
        <v>10</v>
      </c>
      <c r="AJ22">
        <v>10</v>
      </c>
      <c r="AK22">
        <v>10</v>
      </c>
      <c r="AL22">
        <v>15</v>
      </c>
      <c r="AM22">
        <v>5</v>
      </c>
      <c r="AN22">
        <v>10</v>
      </c>
      <c r="AO22">
        <v>10</v>
      </c>
      <c r="AP22" s="61">
        <f t="shared" si="1"/>
        <v>8.75</v>
      </c>
      <c r="AQ22" s="4" t="s">
        <v>41</v>
      </c>
      <c r="AR22" s="2"/>
      <c r="AS22" s="49" t="s">
        <v>278</v>
      </c>
      <c r="AT22">
        <v>15</v>
      </c>
      <c r="AU22" s="3"/>
      <c r="AV22" s="63" t="s">
        <v>278</v>
      </c>
      <c r="AW22" s="63" t="s">
        <v>278</v>
      </c>
      <c r="AX22" s="64">
        <v>100</v>
      </c>
      <c r="AY22" s="64">
        <v>55</v>
      </c>
      <c r="AZ22" s="3"/>
      <c r="BA22" s="66">
        <v>100</v>
      </c>
      <c r="BB22" s="66">
        <v>90</v>
      </c>
      <c r="BC22" s="66">
        <v>80</v>
      </c>
      <c r="BD22" s="66">
        <v>60</v>
      </c>
      <c r="BE22" s="3"/>
      <c r="BF22" s="11">
        <v>0</v>
      </c>
      <c r="BG22" s="11">
        <v>0</v>
      </c>
      <c r="BH22" s="11">
        <v>5</v>
      </c>
      <c r="BI22" s="11">
        <v>5</v>
      </c>
      <c r="BJ22" s="3"/>
      <c r="BK22" s="11" t="s">
        <v>278</v>
      </c>
      <c r="BL22" s="11" t="s">
        <v>278</v>
      </c>
      <c r="BM22" s="11" t="s">
        <v>278</v>
      </c>
      <c r="BN22" s="11" t="s">
        <v>278</v>
      </c>
      <c r="BO22" s="11" t="s">
        <v>278</v>
      </c>
      <c r="BP22" s="11" t="s">
        <v>278</v>
      </c>
      <c r="BQ22" s="68" t="s">
        <v>285</v>
      </c>
      <c r="BR22" s="3"/>
      <c r="BS22" s="11">
        <v>100</v>
      </c>
      <c r="BT22" s="11">
        <v>105</v>
      </c>
      <c r="BU22" s="11">
        <v>100</v>
      </c>
      <c r="BV22" s="11">
        <v>95</v>
      </c>
      <c r="BW22" s="11">
        <v>105</v>
      </c>
      <c r="BX22" s="11">
        <v>95</v>
      </c>
      <c r="BY22" s="71">
        <f t="shared" si="3"/>
        <v>100</v>
      </c>
      <c r="BZ22" s="3"/>
      <c r="CA22" s="433" t="s">
        <v>280</v>
      </c>
      <c r="CB22" s="433"/>
      <c r="CC22" s="433"/>
      <c r="CD22" s="433"/>
      <c r="CE22" s="433"/>
      <c r="CF22" s="433"/>
      <c r="CG22" s="3"/>
      <c r="CH22" t="s">
        <v>281</v>
      </c>
      <c r="CI22" t="s">
        <v>281</v>
      </c>
      <c r="CJ22" s="97"/>
      <c r="CK22" s="71">
        <v>100</v>
      </c>
      <c r="CL22" s="97"/>
      <c r="CM22" s="313"/>
      <c r="CN22" s="313"/>
      <c r="CO22" s="313"/>
      <c r="CP22" s="313"/>
      <c r="CQ22" s="313"/>
      <c r="CR22" s="313"/>
      <c r="CS22" s="97"/>
      <c r="CT22">
        <f t="shared" si="9"/>
        <v>95</v>
      </c>
      <c r="CU22">
        <f t="shared" si="10"/>
        <v>95</v>
      </c>
      <c r="CV22">
        <f t="shared" si="11"/>
        <v>90</v>
      </c>
      <c r="CW22">
        <f t="shared" si="12"/>
        <v>85</v>
      </c>
      <c r="CX22">
        <f t="shared" si="13"/>
        <v>100</v>
      </c>
      <c r="CY22">
        <f t="shared" si="15"/>
        <v>85</v>
      </c>
      <c r="CZ22" s="97"/>
    </row>
    <row r="23" spans="1:104" ht="16" customHeight="1" x14ac:dyDescent="0.2">
      <c r="A23" s="44" t="s">
        <v>97</v>
      </c>
      <c r="B23">
        <v>450504</v>
      </c>
      <c r="E23" t="s">
        <v>71</v>
      </c>
      <c r="F23" s="21">
        <f>DATE(2025,9,22)</f>
        <v>45922</v>
      </c>
      <c r="G23" s="21"/>
      <c r="H23" s="21"/>
      <c r="I23" s="21"/>
      <c r="J23" s="21"/>
      <c r="O23" s="2"/>
      <c r="P23" s="102">
        <v>0</v>
      </c>
      <c r="Q23" s="175">
        <v>0</v>
      </c>
      <c r="R23" s="175">
        <v>0</v>
      </c>
      <c r="S23" s="174">
        <v>1</v>
      </c>
      <c r="T23" s="175">
        <v>0</v>
      </c>
      <c r="U23" s="175"/>
      <c r="V23" s="2"/>
      <c r="W23">
        <v>10</v>
      </c>
      <c r="X23">
        <v>5</v>
      </c>
      <c r="Y23">
        <v>0</v>
      </c>
      <c r="Z23">
        <v>0</v>
      </c>
      <c r="AA23">
        <v>10</v>
      </c>
      <c r="AB23">
        <v>10</v>
      </c>
      <c r="AC23">
        <v>5</v>
      </c>
      <c r="AD23">
        <v>10</v>
      </c>
      <c r="AE23" s="61">
        <f t="shared" si="0"/>
        <v>3.75</v>
      </c>
      <c r="AF23" s="57" t="s">
        <v>41</v>
      </c>
      <c r="AG23" s="2"/>
      <c r="AH23">
        <v>10</v>
      </c>
      <c r="AI23">
        <v>5</v>
      </c>
      <c r="AJ23">
        <v>0</v>
      </c>
      <c r="AK23">
        <v>5</v>
      </c>
      <c r="AL23">
        <v>10</v>
      </c>
      <c r="AM23">
        <v>10</v>
      </c>
      <c r="AN23">
        <v>10</v>
      </c>
      <c r="AO23">
        <v>5</v>
      </c>
      <c r="AP23" s="61">
        <f t="shared" si="1"/>
        <v>5</v>
      </c>
      <c r="AQ23" s="4" t="s">
        <v>41</v>
      </c>
      <c r="AR23" s="2"/>
      <c r="AS23">
        <v>0</v>
      </c>
      <c r="AT23">
        <v>0</v>
      </c>
      <c r="AU23" s="3"/>
      <c r="AV23" s="63">
        <v>100</v>
      </c>
      <c r="AW23" s="63">
        <v>40</v>
      </c>
      <c r="AX23" s="64">
        <v>100</v>
      </c>
      <c r="AY23" s="64">
        <v>40</v>
      </c>
      <c r="AZ23" s="3"/>
      <c r="BA23" s="11">
        <v>-5</v>
      </c>
      <c r="BB23" s="11">
        <v>5</v>
      </c>
      <c r="BC23" s="11">
        <v>0</v>
      </c>
      <c r="BD23" s="11">
        <v>-10</v>
      </c>
      <c r="BE23" s="3"/>
      <c r="BF23" s="11">
        <v>0</v>
      </c>
      <c r="BG23" s="11">
        <v>5</v>
      </c>
      <c r="BH23" s="11">
        <v>0</v>
      </c>
      <c r="BI23" s="11">
        <v>-10</v>
      </c>
      <c r="BJ23" s="3"/>
      <c r="BK23" s="11">
        <v>110</v>
      </c>
      <c r="BL23" s="11">
        <v>115</v>
      </c>
      <c r="BM23" s="11">
        <v>120</v>
      </c>
      <c r="BN23" s="11">
        <v>115</v>
      </c>
      <c r="BO23" s="11">
        <v>115</v>
      </c>
      <c r="BP23" s="11">
        <v>105</v>
      </c>
      <c r="BQ23" s="70">
        <f t="shared" ref="BQ23:BQ43" si="16">AVERAGE(BK23:BP23)</f>
        <v>113.33333333333333</v>
      </c>
      <c r="BR23" s="3"/>
      <c r="BS23" s="11">
        <v>110</v>
      </c>
      <c r="BT23" s="11">
        <v>115</v>
      </c>
      <c r="BU23" s="11">
        <v>120</v>
      </c>
      <c r="BV23" s="11">
        <v>115</v>
      </c>
      <c r="BW23" s="11">
        <v>115</v>
      </c>
      <c r="BX23" s="11">
        <v>105</v>
      </c>
      <c r="BY23" s="71">
        <f t="shared" si="3"/>
        <v>113.33333333333333</v>
      </c>
      <c r="BZ23" s="3"/>
      <c r="CA23" s="433" t="s">
        <v>280</v>
      </c>
      <c r="CB23" s="433"/>
      <c r="CC23" s="433"/>
      <c r="CD23" s="433"/>
      <c r="CE23" s="433"/>
      <c r="CF23" s="433"/>
      <c r="CG23" s="3"/>
      <c r="CH23" t="s">
        <v>281</v>
      </c>
      <c r="CI23" t="s">
        <v>281</v>
      </c>
      <c r="CJ23" s="97"/>
      <c r="CK23" s="70">
        <v>113.33333333333333</v>
      </c>
      <c r="CL23" s="97"/>
      <c r="CM23" s="313">
        <f t="shared" ref="CM23:CM33" si="17">BK23-W23</f>
        <v>100</v>
      </c>
      <c r="CN23" s="313">
        <f t="shared" ref="CN23:CN33" si="18">BL23-X23</f>
        <v>110</v>
      </c>
      <c r="CO23" s="313">
        <f t="shared" ref="CO23:CO33" si="19">BM23-Y23</f>
        <v>120</v>
      </c>
      <c r="CP23" s="313">
        <f t="shared" ref="CP23:CP33" si="20">BN23-Z23</f>
        <v>115</v>
      </c>
      <c r="CQ23" s="313">
        <f t="shared" ref="CQ23:CQ35" si="21">BO23-AB23</f>
        <v>105</v>
      </c>
      <c r="CR23" s="313">
        <f t="shared" ref="CR23:CR35" si="22">BP23-AD23</f>
        <v>95</v>
      </c>
      <c r="CS23" s="97"/>
      <c r="CT23">
        <f t="shared" si="9"/>
        <v>100</v>
      </c>
      <c r="CU23">
        <f t="shared" si="10"/>
        <v>110</v>
      </c>
      <c r="CV23">
        <f t="shared" si="11"/>
        <v>120</v>
      </c>
      <c r="CW23">
        <f t="shared" si="12"/>
        <v>110</v>
      </c>
      <c r="CX23">
        <f t="shared" si="13"/>
        <v>105</v>
      </c>
      <c r="CY23">
        <f t="shared" si="15"/>
        <v>100</v>
      </c>
      <c r="CZ23" s="97"/>
    </row>
    <row r="24" spans="1:104" ht="16" customHeight="1" x14ac:dyDescent="0.2">
      <c r="A24" s="44" t="s">
        <v>98</v>
      </c>
      <c r="B24">
        <v>569117</v>
      </c>
      <c r="E24" t="s">
        <v>72</v>
      </c>
      <c r="F24" s="21">
        <f>DATE(2025,10,25)</f>
        <v>45955</v>
      </c>
      <c r="G24" s="21"/>
      <c r="H24" s="21"/>
      <c r="I24" s="21"/>
      <c r="J24" s="21"/>
      <c r="K24" t="s">
        <v>289</v>
      </c>
      <c r="O24" s="2"/>
      <c r="P24" s="102">
        <v>0</v>
      </c>
      <c r="Q24" s="175">
        <v>0</v>
      </c>
      <c r="R24" s="175">
        <v>0</v>
      </c>
      <c r="S24" s="174">
        <v>1</v>
      </c>
      <c r="T24" s="175">
        <v>0</v>
      </c>
      <c r="U24" s="175"/>
      <c r="V24" s="2"/>
      <c r="W24">
        <v>0</v>
      </c>
      <c r="X24">
        <v>0</v>
      </c>
      <c r="Y24">
        <v>0</v>
      </c>
      <c r="Z24">
        <v>5</v>
      </c>
      <c r="AA24">
        <v>5</v>
      </c>
      <c r="AB24">
        <v>0</v>
      </c>
      <c r="AC24">
        <v>-5</v>
      </c>
      <c r="AD24">
        <v>0</v>
      </c>
      <c r="AE24" s="61">
        <f t="shared" si="0"/>
        <v>1.25</v>
      </c>
      <c r="AF24" s="57" t="s">
        <v>41</v>
      </c>
      <c r="AG24" s="2"/>
      <c r="AH24">
        <v>0</v>
      </c>
      <c r="AI24">
        <v>0</v>
      </c>
      <c r="AJ24">
        <v>0</v>
      </c>
      <c r="AK24">
        <v>0</v>
      </c>
      <c r="AL24">
        <v>10</v>
      </c>
      <c r="AM24">
        <v>5</v>
      </c>
      <c r="AN24">
        <v>-5</v>
      </c>
      <c r="AO24">
        <v>0</v>
      </c>
      <c r="AP24" s="61">
        <f t="shared" si="1"/>
        <v>1.25</v>
      </c>
      <c r="AQ24" s="4" t="s">
        <v>41</v>
      </c>
      <c r="AR24" s="2"/>
      <c r="AS24">
        <v>5</v>
      </c>
      <c r="AT24">
        <v>5</v>
      </c>
      <c r="AU24" s="3"/>
      <c r="AV24" s="63">
        <v>100</v>
      </c>
      <c r="AW24" s="63">
        <v>45</v>
      </c>
      <c r="AX24" s="64">
        <v>100</v>
      </c>
      <c r="AY24" s="64">
        <v>45</v>
      </c>
      <c r="AZ24" s="3"/>
      <c r="BA24" s="11">
        <v>-5</v>
      </c>
      <c r="BB24" s="11">
        <v>-5</v>
      </c>
      <c r="BC24" s="11">
        <v>5</v>
      </c>
      <c r="BD24" s="11">
        <v>10</v>
      </c>
      <c r="BE24" s="3"/>
      <c r="BF24" s="11">
        <v>-5</v>
      </c>
      <c r="BG24" s="11">
        <v>-5</v>
      </c>
      <c r="BH24" s="11">
        <v>0</v>
      </c>
      <c r="BI24" s="11">
        <v>15</v>
      </c>
      <c r="BJ24" s="3"/>
      <c r="BK24" s="49">
        <v>70</v>
      </c>
      <c r="BL24" s="49">
        <v>70</v>
      </c>
      <c r="BM24" s="11">
        <v>85</v>
      </c>
      <c r="BN24" s="11">
        <v>85</v>
      </c>
      <c r="BO24" s="11">
        <v>80</v>
      </c>
      <c r="BP24" s="49">
        <v>60</v>
      </c>
      <c r="BQ24" s="69">
        <f t="shared" si="16"/>
        <v>75</v>
      </c>
      <c r="BR24" s="3"/>
      <c r="BS24" s="49">
        <v>70</v>
      </c>
      <c r="BT24" s="49">
        <v>75</v>
      </c>
      <c r="BU24" s="49">
        <v>75</v>
      </c>
      <c r="BV24" s="11">
        <v>90</v>
      </c>
      <c r="BW24" s="11">
        <v>80</v>
      </c>
      <c r="BX24" s="49">
        <v>75</v>
      </c>
      <c r="BY24" s="72">
        <f t="shared" si="3"/>
        <v>77.5</v>
      </c>
      <c r="BZ24" s="3"/>
      <c r="CA24" s="433" t="s">
        <v>280</v>
      </c>
      <c r="CB24" s="433"/>
      <c r="CC24" s="433"/>
      <c r="CD24" s="433"/>
      <c r="CE24" s="433"/>
      <c r="CF24" s="433"/>
      <c r="CG24" s="3"/>
      <c r="CH24" t="s">
        <v>281</v>
      </c>
      <c r="CI24" t="s">
        <v>281</v>
      </c>
      <c r="CJ24" s="97"/>
      <c r="CK24" s="69">
        <v>75</v>
      </c>
      <c r="CL24" s="97"/>
      <c r="CM24" s="313">
        <f t="shared" si="17"/>
        <v>70</v>
      </c>
      <c r="CN24" s="313">
        <f t="shared" si="18"/>
        <v>70</v>
      </c>
      <c r="CO24" s="313">
        <f t="shared" si="19"/>
        <v>85</v>
      </c>
      <c r="CP24" s="313">
        <f t="shared" si="20"/>
        <v>80</v>
      </c>
      <c r="CQ24" s="313">
        <f t="shared" si="21"/>
        <v>80</v>
      </c>
      <c r="CR24" s="313">
        <f t="shared" si="22"/>
        <v>60</v>
      </c>
      <c r="CS24" s="97"/>
      <c r="CT24">
        <f t="shared" si="9"/>
        <v>70</v>
      </c>
      <c r="CU24">
        <f t="shared" si="10"/>
        <v>75</v>
      </c>
      <c r="CV24">
        <f t="shared" si="11"/>
        <v>75</v>
      </c>
      <c r="CW24">
        <f t="shared" si="12"/>
        <v>90</v>
      </c>
      <c r="CX24">
        <f t="shared" si="13"/>
        <v>75</v>
      </c>
      <c r="CY24">
        <f t="shared" si="15"/>
        <v>75</v>
      </c>
      <c r="CZ24" s="97"/>
    </row>
    <row r="25" spans="1:104" ht="16" customHeight="1" x14ac:dyDescent="0.2">
      <c r="A25" s="44" t="s">
        <v>99</v>
      </c>
      <c r="B25">
        <v>107811</v>
      </c>
      <c r="E25" t="s">
        <v>73</v>
      </c>
      <c r="F25" s="21">
        <f>DATE(2025,12,3)</f>
        <v>45994</v>
      </c>
      <c r="G25" s="21"/>
      <c r="H25" s="21"/>
      <c r="I25" s="21"/>
      <c r="J25" s="21"/>
      <c r="K25" t="s">
        <v>290</v>
      </c>
      <c r="O25" s="2"/>
      <c r="P25" s="102">
        <v>0</v>
      </c>
      <c r="Q25" s="175">
        <v>0</v>
      </c>
      <c r="R25" s="175">
        <v>0</v>
      </c>
      <c r="S25" s="174">
        <v>1</v>
      </c>
      <c r="T25" s="175">
        <v>0</v>
      </c>
      <c r="U25" s="175"/>
      <c r="V25" s="2"/>
      <c r="W25">
        <v>5</v>
      </c>
      <c r="X25">
        <v>15</v>
      </c>
      <c r="Y25">
        <v>10</v>
      </c>
      <c r="Z25">
        <v>0</v>
      </c>
      <c r="AA25">
        <v>5</v>
      </c>
      <c r="AB25">
        <v>10</v>
      </c>
      <c r="AC25">
        <v>5</v>
      </c>
      <c r="AD25">
        <v>5</v>
      </c>
      <c r="AE25" s="61">
        <f t="shared" si="0"/>
        <v>8.75</v>
      </c>
      <c r="AF25" s="57" t="s">
        <v>41</v>
      </c>
      <c r="AG25" s="2"/>
      <c r="AH25">
        <v>10</v>
      </c>
      <c r="AI25">
        <v>10</v>
      </c>
      <c r="AJ25">
        <v>5</v>
      </c>
      <c r="AK25">
        <v>10</v>
      </c>
      <c r="AL25">
        <v>10</v>
      </c>
      <c r="AM25">
        <v>5</v>
      </c>
      <c r="AN25">
        <v>5</v>
      </c>
      <c r="AO25">
        <v>5</v>
      </c>
      <c r="AP25" s="61">
        <f t="shared" si="1"/>
        <v>7.5</v>
      </c>
      <c r="AQ25" s="4" t="s">
        <v>41</v>
      </c>
      <c r="AR25" s="2"/>
      <c r="AS25">
        <v>5</v>
      </c>
      <c r="AT25">
        <v>10</v>
      </c>
      <c r="AU25" s="3"/>
      <c r="AV25" s="63">
        <v>100</v>
      </c>
      <c r="AW25" s="63">
        <v>45</v>
      </c>
      <c r="AX25" s="64">
        <v>100</v>
      </c>
      <c r="AY25" s="64">
        <v>50</v>
      </c>
      <c r="AZ25" s="3"/>
      <c r="BA25" s="11">
        <v>0</v>
      </c>
      <c r="BB25" s="11">
        <v>0</v>
      </c>
      <c r="BC25" s="11">
        <v>15</v>
      </c>
      <c r="BD25" s="11">
        <v>5</v>
      </c>
      <c r="BE25" s="3"/>
      <c r="BF25" s="11">
        <v>0</v>
      </c>
      <c r="BG25" s="11">
        <v>5</v>
      </c>
      <c r="BH25" s="11">
        <v>10</v>
      </c>
      <c r="BI25" s="11">
        <v>15</v>
      </c>
      <c r="BJ25" s="3"/>
      <c r="BK25" s="50">
        <v>110</v>
      </c>
      <c r="BL25" s="50">
        <v>115</v>
      </c>
      <c r="BM25" s="50">
        <v>100</v>
      </c>
      <c r="BN25" s="50">
        <v>100</v>
      </c>
      <c r="BO25" s="50">
        <v>90</v>
      </c>
      <c r="BP25" s="50">
        <v>80</v>
      </c>
      <c r="BQ25" s="70">
        <f t="shared" si="16"/>
        <v>99.166666666666671</v>
      </c>
      <c r="BR25" s="3"/>
      <c r="BS25" s="50">
        <v>105</v>
      </c>
      <c r="BT25" s="22">
        <v>105</v>
      </c>
      <c r="BU25" s="22">
        <v>100</v>
      </c>
      <c r="BV25" s="22">
        <v>90</v>
      </c>
      <c r="BW25" s="22">
        <v>90</v>
      </c>
      <c r="BX25" s="22">
        <v>80</v>
      </c>
      <c r="BY25" s="71">
        <f t="shared" si="3"/>
        <v>95</v>
      </c>
      <c r="BZ25" s="3"/>
      <c r="CA25" s="433" t="s">
        <v>280</v>
      </c>
      <c r="CB25" s="433"/>
      <c r="CC25" s="433"/>
      <c r="CD25" s="433"/>
      <c r="CE25" s="433"/>
      <c r="CF25" s="433"/>
      <c r="CG25" s="3"/>
      <c r="CH25" t="s">
        <v>281</v>
      </c>
      <c r="CI25" t="s">
        <v>281</v>
      </c>
      <c r="CJ25" s="97"/>
      <c r="CK25" s="71">
        <v>95</v>
      </c>
      <c r="CL25" s="97"/>
      <c r="CM25" s="313">
        <f t="shared" si="17"/>
        <v>105</v>
      </c>
      <c r="CN25" s="313">
        <f t="shared" si="18"/>
        <v>100</v>
      </c>
      <c r="CO25" s="313">
        <f t="shared" si="19"/>
        <v>90</v>
      </c>
      <c r="CP25" s="313">
        <f t="shared" si="20"/>
        <v>100</v>
      </c>
      <c r="CQ25" s="313">
        <f t="shared" si="21"/>
        <v>80</v>
      </c>
      <c r="CR25" s="313">
        <f t="shared" si="22"/>
        <v>75</v>
      </c>
      <c r="CS25" s="97"/>
      <c r="CT25">
        <f t="shared" si="9"/>
        <v>95</v>
      </c>
      <c r="CU25">
        <f t="shared" si="10"/>
        <v>95</v>
      </c>
      <c r="CV25">
        <f t="shared" si="11"/>
        <v>95</v>
      </c>
      <c r="CW25">
        <f t="shared" si="12"/>
        <v>80</v>
      </c>
      <c r="CX25">
        <f t="shared" si="13"/>
        <v>85</v>
      </c>
      <c r="CY25">
        <f t="shared" si="15"/>
        <v>75</v>
      </c>
      <c r="CZ25" s="97"/>
    </row>
    <row r="26" spans="1:104" ht="16" x14ac:dyDescent="0.2">
      <c r="A26" s="44" t="s">
        <v>100</v>
      </c>
      <c r="B26">
        <v>305363</v>
      </c>
      <c r="E26" t="s">
        <v>74</v>
      </c>
      <c r="F26" s="21">
        <f>DATE(2025,12,9)</f>
        <v>46000</v>
      </c>
      <c r="G26" s="21"/>
      <c r="H26" s="21"/>
      <c r="I26" s="21"/>
      <c r="J26" s="21"/>
      <c r="K26" t="s">
        <v>291</v>
      </c>
      <c r="L26" t="s">
        <v>292</v>
      </c>
      <c r="O26" s="2"/>
      <c r="P26" s="102">
        <v>0</v>
      </c>
      <c r="Q26" s="174">
        <v>1</v>
      </c>
      <c r="R26" s="174">
        <v>1</v>
      </c>
      <c r="S26" s="174">
        <v>1</v>
      </c>
      <c r="T26" s="174">
        <v>1</v>
      </c>
      <c r="U26" s="174"/>
      <c r="V26" s="2"/>
      <c r="W26">
        <v>25</v>
      </c>
      <c r="X26" s="30">
        <v>35</v>
      </c>
      <c r="Y26">
        <v>20</v>
      </c>
      <c r="Z26">
        <v>15</v>
      </c>
      <c r="AA26">
        <v>25</v>
      </c>
      <c r="AB26" s="30">
        <v>40</v>
      </c>
      <c r="AC26" s="30">
        <v>40</v>
      </c>
      <c r="AD26" s="30">
        <v>55</v>
      </c>
      <c r="AE26" s="60">
        <f t="shared" si="0"/>
        <v>27.5</v>
      </c>
      <c r="AF26" s="52" t="s">
        <v>46</v>
      </c>
      <c r="AG26" s="2"/>
      <c r="AH26" s="30">
        <v>45</v>
      </c>
      <c r="AI26" s="30">
        <v>50</v>
      </c>
      <c r="AJ26" s="30">
        <v>40</v>
      </c>
      <c r="AK26" s="30">
        <v>45</v>
      </c>
      <c r="AL26" s="30">
        <v>70</v>
      </c>
      <c r="AM26" s="30">
        <v>60</v>
      </c>
      <c r="AN26" s="30">
        <v>70</v>
      </c>
      <c r="AO26" s="30">
        <v>70</v>
      </c>
      <c r="AP26" s="60">
        <f t="shared" si="1"/>
        <v>48.75</v>
      </c>
      <c r="AQ26" s="227" t="s">
        <v>46</v>
      </c>
      <c r="AR26" s="2"/>
      <c r="AS26">
        <v>25</v>
      </c>
      <c r="AT26" s="30">
        <v>55</v>
      </c>
      <c r="AU26" s="3"/>
      <c r="AV26" s="63">
        <v>100</v>
      </c>
      <c r="AW26" s="63">
        <v>65</v>
      </c>
      <c r="AX26" s="64">
        <v>72</v>
      </c>
      <c r="AY26" s="64">
        <v>85</v>
      </c>
      <c r="AZ26" s="3"/>
      <c r="BA26" s="49">
        <v>70</v>
      </c>
      <c r="BB26" s="49">
        <v>80</v>
      </c>
      <c r="BC26" s="66">
        <v>80</v>
      </c>
      <c r="BD26" s="66">
        <v>60</v>
      </c>
      <c r="BE26" s="3"/>
      <c r="BF26" s="49">
        <v>85</v>
      </c>
      <c r="BG26" s="49">
        <v>90</v>
      </c>
      <c r="BH26" s="66">
        <v>80</v>
      </c>
      <c r="BI26" s="66">
        <v>60</v>
      </c>
      <c r="BJ26" s="3"/>
      <c r="BK26" s="50">
        <v>100</v>
      </c>
      <c r="BL26" s="22">
        <v>100</v>
      </c>
      <c r="BM26" s="22">
        <v>95</v>
      </c>
      <c r="BN26" s="22">
        <v>105</v>
      </c>
      <c r="BO26" s="22">
        <v>110</v>
      </c>
      <c r="BP26" s="22">
        <v>105</v>
      </c>
      <c r="BQ26" s="70">
        <f t="shared" si="16"/>
        <v>102.5</v>
      </c>
      <c r="BR26" s="3"/>
      <c r="BS26" s="50">
        <v>95</v>
      </c>
      <c r="BT26" s="50">
        <v>90</v>
      </c>
      <c r="BU26" s="50">
        <v>85</v>
      </c>
      <c r="BV26" s="50">
        <v>95</v>
      </c>
      <c r="BW26" s="50">
        <v>115</v>
      </c>
      <c r="BX26" s="50">
        <v>105</v>
      </c>
      <c r="BY26" s="71">
        <f t="shared" si="3"/>
        <v>97.5</v>
      </c>
      <c r="BZ26" s="3"/>
      <c r="CA26" s="30" t="s">
        <v>276</v>
      </c>
      <c r="CB26" s="30" t="s">
        <v>277</v>
      </c>
      <c r="CC26" s="30">
        <v>8000</v>
      </c>
      <c r="CD26" s="30">
        <v>61</v>
      </c>
      <c r="CE26" s="30"/>
      <c r="CF26" s="30"/>
      <c r="CG26" s="3"/>
      <c r="CH26" t="s">
        <v>281</v>
      </c>
      <c r="CI26" t="s">
        <v>281</v>
      </c>
      <c r="CJ26" s="97"/>
      <c r="CK26" s="71">
        <v>97.5</v>
      </c>
      <c r="CL26" s="97"/>
      <c r="CM26" s="313">
        <f t="shared" si="17"/>
        <v>75</v>
      </c>
      <c r="CN26" s="313">
        <f t="shared" si="18"/>
        <v>65</v>
      </c>
      <c r="CO26" s="313">
        <f t="shared" si="19"/>
        <v>75</v>
      </c>
      <c r="CP26" s="313">
        <f t="shared" si="20"/>
        <v>90</v>
      </c>
      <c r="CQ26" s="313">
        <f t="shared" si="21"/>
        <v>70</v>
      </c>
      <c r="CR26" s="313">
        <f t="shared" si="22"/>
        <v>50</v>
      </c>
      <c r="CS26" s="97"/>
      <c r="CT26">
        <f t="shared" si="9"/>
        <v>50</v>
      </c>
      <c r="CU26">
        <f t="shared" si="10"/>
        <v>40</v>
      </c>
      <c r="CV26">
        <f t="shared" si="11"/>
        <v>45</v>
      </c>
      <c r="CW26">
        <f t="shared" si="12"/>
        <v>50</v>
      </c>
      <c r="CX26">
        <f t="shared" si="13"/>
        <v>55</v>
      </c>
      <c r="CY26">
        <f t="shared" si="15"/>
        <v>35</v>
      </c>
      <c r="CZ26" s="97"/>
    </row>
    <row r="27" spans="1:104" ht="16" x14ac:dyDescent="0.2">
      <c r="A27" s="44" t="s">
        <v>101</v>
      </c>
      <c r="B27">
        <v>821340</v>
      </c>
      <c r="E27" t="s">
        <v>75</v>
      </c>
      <c r="F27" s="21">
        <f>DATE(2025,12,3)</f>
        <v>45994</v>
      </c>
      <c r="G27" s="21"/>
      <c r="H27" s="21"/>
      <c r="I27" s="21"/>
      <c r="J27" s="21"/>
      <c r="K27" t="s">
        <v>293</v>
      </c>
      <c r="O27" s="2"/>
      <c r="P27" s="102">
        <v>0</v>
      </c>
      <c r="Q27" s="174">
        <v>1</v>
      </c>
      <c r="R27" s="174">
        <v>1</v>
      </c>
      <c r="S27" s="174">
        <v>1</v>
      </c>
      <c r="T27" s="174">
        <v>0</v>
      </c>
      <c r="U27" s="174"/>
      <c r="V27" s="2"/>
      <c r="W27">
        <v>10</v>
      </c>
      <c r="X27">
        <v>10</v>
      </c>
      <c r="Y27">
        <v>10</v>
      </c>
      <c r="Z27" s="30">
        <v>35</v>
      </c>
      <c r="AA27" s="30">
        <v>55</v>
      </c>
      <c r="AB27" s="30">
        <v>65</v>
      </c>
      <c r="AC27" s="30">
        <v>60</v>
      </c>
      <c r="AD27" s="30">
        <v>75</v>
      </c>
      <c r="AE27" s="60">
        <f t="shared" si="0"/>
        <v>30</v>
      </c>
      <c r="AF27" s="52" t="s">
        <v>46</v>
      </c>
      <c r="AG27" s="2"/>
      <c r="AH27">
        <v>10</v>
      </c>
      <c r="AI27">
        <v>10</v>
      </c>
      <c r="AJ27">
        <v>10</v>
      </c>
      <c r="AK27" s="30">
        <v>40</v>
      </c>
      <c r="AL27" s="30">
        <v>50</v>
      </c>
      <c r="AM27" s="30">
        <v>50</v>
      </c>
      <c r="AN27" s="30">
        <v>45</v>
      </c>
      <c r="AO27" s="30">
        <v>55</v>
      </c>
      <c r="AP27" s="61">
        <f t="shared" si="1"/>
        <v>27.5</v>
      </c>
      <c r="AQ27" s="227" t="s">
        <v>46</v>
      </c>
      <c r="AR27" s="2"/>
      <c r="AS27">
        <v>20</v>
      </c>
      <c r="AT27">
        <v>25</v>
      </c>
      <c r="AU27" s="3"/>
      <c r="AV27" s="63">
        <v>100</v>
      </c>
      <c r="AW27" s="63">
        <v>70</v>
      </c>
      <c r="AX27" s="64">
        <v>100</v>
      </c>
      <c r="AY27" s="64">
        <v>75</v>
      </c>
      <c r="AZ27" s="3"/>
      <c r="BA27" s="49">
        <v>70</v>
      </c>
      <c r="BB27" s="49">
        <v>75</v>
      </c>
      <c r="BC27" s="263">
        <v>80</v>
      </c>
      <c r="BD27" s="66">
        <v>60</v>
      </c>
      <c r="BE27" s="3"/>
      <c r="BF27" s="49">
        <v>55</v>
      </c>
      <c r="BG27" s="49">
        <v>65</v>
      </c>
      <c r="BH27" s="66">
        <v>80</v>
      </c>
      <c r="BI27" s="49">
        <v>60</v>
      </c>
      <c r="BJ27" s="3"/>
      <c r="BK27" s="49">
        <v>70</v>
      </c>
      <c r="BL27" s="49">
        <v>75</v>
      </c>
      <c r="BM27" s="49">
        <v>70</v>
      </c>
      <c r="BN27" s="11">
        <v>80</v>
      </c>
      <c r="BO27" s="11">
        <v>95</v>
      </c>
      <c r="BP27" s="11">
        <v>105</v>
      </c>
      <c r="BQ27" s="70">
        <f t="shared" si="16"/>
        <v>82.5</v>
      </c>
      <c r="BR27" s="3"/>
      <c r="BS27" s="49">
        <v>70</v>
      </c>
      <c r="BT27" s="49">
        <v>70</v>
      </c>
      <c r="BU27" s="49">
        <v>75</v>
      </c>
      <c r="BV27">
        <v>90</v>
      </c>
      <c r="BW27">
        <v>95</v>
      </c>
      <c r="BX27">
        <v>105</v>
      </c>
      <c r="BY27" s="71">
        <f t="shared" si="3"/>
        <v>84.166666666666671</v>
      </c>
      <c r="BZ27" s="3"/>
      <c r="CA27" s="73" t="s">
        <v>283</v>
      </c>
      <c r="CB27" s="73" t="s">
        <v>277</v>
      </c>
      <c r="CC27" s="73">
        <v>1500</v>
      </c>
      <c r="CD27" s="73">
        <v>32</v>
      </c>
      <c r="CE27" s="73"/>
      <c r="CF27" s="73"/>
      <c r="CG27" s="3"/>
      <c r="CH27" t="s">
        <v>281</v>
      </c>
      <c r="CI27" t="s">
        <v>281</v>
      </c>
      <c r="CJ27" s="97"/>
      <c r="CK27" s="70">
        <v>82.5</v>
      </c>
      <c r="CL27" s="97"/>
      <c r="CM27" s="313">
        <f t="shared" si="17"/>
        <v>60</v>
      </c>
      <c r="CN27" s="313">
        <f t="shared" si="18"/>
        <v>65</v>
      </c>
      <c r="CO27" s="313">
        <f t="shared" si="19"/>
        <v>60</v>
      </c>
      <c r="CP27" s="313">
        <f t="shared" si="20"/>
        <v>45</v>
      </c>
      <c r="CQ27" s="313">
        <f t="shared" si="21"/>
        <v>30</v>
      </c>
      <c r="CR27" s="313">
        <f t="shared" si="22"/>
        <v>30</v>
      </c>
      <c r="CS27" s="97"/>
      <c r="CT27">
        <f t="shared" si="9"/>
        <v>60</v>
      </c>
      <c r="CU27">
        <f t="shared" si="10"/>
        <v>60</v>
      </c>
      <c r="CV27">
        <f t="shared" si="11"/>
        <v>65</v>
      </c>
      <c r="CW27">
        <f t="shared" si="12"/>
        <v>50</v>
      </c>
      <c r="CX27">
        <f t="shared" si="13"/>
        <v>45</v>
      </c>
      <c r="CY27">
        <f t="shared" si="15"/>
        <v>50</v>
      </c>
      <c r="CZ27" s="97"/>
    </row>
    <row r="28" spans="1:104" ht="16" x14ac:dyDescent="0.2">
      <c r="A28" s="44" t="s">
        <v>102</v>
      </c>
      <c r="B28">
        <v>858247</v>
      </c>
      <c r="E28" t="s">
        <v>76</v>
      </c>
      <c r="F28" s="21">
        <f>DATE(2025,11,14)</f>
        <v>45975</v>
      </c>
      <c r="G28" s="21"/>
      <c r="H28" s="21"/>
      <c r="I28" s="21"/>
      <c r="J28" s="21"/>
      <c r="O28" s="2"/>
      <c r="P28" s="102">
        <v>0</v>
      </c>
      <c r="Q28" s="175">
        <v>1</v>
      </c>
      <c r="R28" s="175">
        <v>1</v>
      </c>
      <c r="S28" s="174">
        <v>0</v>
      </c>
      <c r="T28" s="175">
        <v>0</v>
      </c>
      <c r="U28" s="175"/>
      <c r="V28" s="2"/>
      <c r="W28">
        <v>10</v>
      </c>
      <c r="X28">
        <v>5</v>
      </c>
      <c r="Y28">
        <v>20</v>
      </c>
      <c r="Z28">
        <v>10</v>
      </c>
      <c r="AA28">
        <v>20</v>
      </c>
      <c r="AB28" s="225">
        <v>30</v>
      </c>
      <c r="AC28" s="225">
        <v>35</v>
      </c>
      <c r="AD28" s="225">
        <v>40</v>
      </c>
      <c r="AE28" s="61">
        <f t="shared" si="0"/>
        <v>16.25</v>
      </c>
      <c r="AF28" s="226" t="s">
        <v>46</v>
      </c>
      <c r="AG28" s="2"/>
      <c r="AH28">
        <v>10</v>
      </c>
      <c r="AI28">
        <v>5</v>
      </c>
      <c r="AJ28">
        <v>15</v>
      </c>
      <c r="AK28">
        <v>20</v>
      </c>
      <c r="AL28" s="225">
        <v>45</v>
      </c>
      <c r="AM28" s="225">
        <v>50</v>
      </c>
      <c r="AN28" s="225">
        <v>55</v>
      </c>
      <c r="AO28" s="225">
        <v>55</v>
      </c>
      <c r="AP28" s="61">
        <f t="shared" si="1"/>
        <v>22.5</v>
      </c>
      <c r="AQ28" s="227" t="s">
        <v>46</v>
      </c>
      <c r="AR28" s="2"/>
      <c r="AS28">
        <v>15</v>
      </c>
      <c r="AT28">
        <v>20</v>
      </c>
      <c r="AU28" s="3"/>
      <c r="AV28" s="63">
        <v>100</v>
      </c>
      <c r="AW28" s="63">
        <v>55</v>
      </c>
      <c r="AX28" s="64">
        <v>100</v>
      </c>
      <c r="AY28" s="64">
        <v>60</v>
      </c>
      <c r="AZ28" s="3"/>
      <c r="BA28" s="228">
        <v>55</v>
      </c>
      <c r="BB28" s="228">
        <v>65</v>
      </c>
      <c r="BC28" s="228">
        <v>65</v>
      </c>
      <c r="BD28" s="228">
        <v>60</v>
      </c>
      <c r="BE28" s="3"/>
      <c r="BF28" s="228">
        <v>55</v>
      </c>
      <c r="BG28" s="228">
        <v>65</v>
      </c>
      <c r="BH28" s="228">
        <v>75</v>
      </c>
      <c r="BI28" s="229">
        <v>60</v>
      </c>
      <c r="BJ28" s="3"/>
      <c r="BK28" s="230">
        <v>85</v>
      </c>
      <c r="BL28" s="230">
        <v>80</v>
      </c>
      <c r="BM28" s="11">
        <v>80</v>
      </c>
      <c r="BN28" s="11">
        <v>80</v>
      </c>
      <c r="BO28" s="11">
        <v>85</v>
      </c>
      <c r="BP28" s="230">
        <v>85</v>
      </c>
      <c r="BQ28" s="70">
        <f t="shared" si="16"/>
        <v>82.5</v>
      </c>
      <c r="BR28" s="3"/>
      <c r="BS28" s="230">
        <v>85</v>
      </c>
      <c r="BT28" s="230">
        <v>85</v>
      </c>
      <c r="BU28" s="230">
        <v>85</v>
      </c>
      <c r="BV28" s="11">
        <v>90</v>
      </c>
      <c r="BW28" s="11">
        <v>95</v>
      </c>
      <c r="BX28" s="230">
        <v>95</v>
      </c>
      <c r="BY28" s="71">
        <f t="shared" si="3"/>
        <v>89.166666666666671</v>
      </c>
      <c r="BZ28" s="3"/>
      <c r="CA28" s="159" t="s">
        <v>276</v>
      </c>
      <c r="CB28" s="159" t="s">
        <v>277</v>
      </c>
      <c r="CC28" s="49">
        <v>4000</v>
      </c>
      <c r="CD28" s="49">
        <v>42</v>
      </c>
      <c r="CE28" s="49"/>
      <c r="CF28" s="49"/>
      <c r="CG28" s="3"/>
      <c r="CH28" t="s">
        <v>281</v>
      </c>
      <c r="CI28" t="s">
        <v>281</v>
      </c>
      <c r="CJ28" s="97"/>
      <c r="CK28" s="70">
        <v>82.5</v>
      </c>
      <c r="CL28" s="97"/>
      <c r="CM28" s="313">
        <f t="shared" si="17"/>
        <v>75</v>
      </c>
      <c r="CN28" s="313">
        <f t="shared" si="18"/>
        <v>75</v>
      </c>
      <c r="CO28" s="313">
        <f t="shared" si="19"/>
        <v>60</v>
      </c>
      <c r="CP28" s="313">
        <f t="shared" si="20"/>
        <v>70</v>
      </c>
      <c r="CQ28" s="313">
        <f t="shared" si="21"/>
        <v>55</v>
      </c>
      <c r="CR28" s="313">
        <f t="shared" si="22"/>
        <v>45</v>
      </c>
      <c r="CS28" s="97"/>
      <c r="CT28">
        <f t="shared" si="9"/>
        <v>75</v>
      </c>
      <c r="CU28">
        <f t="shared" si="10"/>
        <v>80</v>
      </c>
      <c r="CV28">
        <f t="shared" si="11"/>
        <v>70</v>
      </c>
      <c r="CW28">
        <f t="shared" si="12"/>
        <v>70</v>
      </c>
      <c r="CX28">
        <f t="shared" si="13"/>
        <v>45</v>
      </c>
      <c r="CY28">
        <f t="shared" si="15"/>
        <v>40</v>
      </c>
      <c r="CZ28" s="97"/>
    </row>
    <row r="29" spans="1:104" ht="16" x14ac:dyDescent="0.2">
      <c r="A29" s="44" t="s">
        <v>103</v>
      </c>
      <c r="B29">
        <v>454050</v>
      </c>
      <c r="E29" t="s">
        <v>77</v>
      </c>
      <c r="F29" s="21">
        <f>DATE(2025,11,17)</f>
        <v>45978</v>
      </c>
      <c r="G29" s="21"/>
      <c r="H29" s="21"/>
      <c r="I29" s="21"/>
      <c r="J29" s="21" t="s">
        <v>294</v>
      </c>
      <c r="O29" s="2"/>
      <c r="P29" s="102">
        <v>0</v>
      </c>
      <c r="Q29" s="175">
        <v>1</v>
      </c>
      <c r="R29" s="175">
        <v>1</v>
      </c>
      <c r="S29" s="174">
        <v>1</v>
      </c>
      <c r="T29" s="175">
        <v>0</v>
      </c>
      <c r="U29" s="175"/>
      <c r="V29" s="2"/>
      <c r="W29">
        <v>0</v>
      </c>
      <c r="X29">
        <v>0</v>
      </c>
      <c r="Y29">
        <v>5</v>
      </c>
      <c r="Z29">
        <v>25</v>
      </c>
      <c r="AA29" s="225">
        <v>40</v>
      </c>
      <c r="AB29" s="225">
        <v>45</v>
      </c>
      <c r="AC29" s="225">
        <v>40</v>
      </c>
      <c r="AD29" s="225">
        <v>55</v>
      </c>
      <c r="AE29" s="61">
        <f t="shared" si="0"/>
        <v>18.75</v>
      </c>
      <c r="AF29" s="226" t="s">
        <v>46</v>
      </c>
      <c r="AG29" s="2"/>
      <c r="AH29">
        <v>0</v>
      </c>
      <c r="AI29">
        <v>5</v>
      </c>
      <c r="AJ29">
        <v>5</v>
      </c>
      <c r="AK29" s="225">
        <v>30</v>
      </c>
      <c r="AL29" s="225">
        <v>55</v>
      </c>
      <c r="AM29" s="225">
        <v>55</v>
      </c>
      <c r="AN29" s="225">
        <v>45</v>
      </c>
      <c r="AO29" s="225">
        <v>55</v>
      </c>
      <c r="AP29" s="61">
        <f t="shared" si="1"/>
        <v>23.75</v>
      </c>
      <c r="AQ29" s="227" t="s">
        <v>46</v>
      </c>
      <c r="AR29" s="2"/>
      <c r="AS29">
        <v>10</v>
      </c>
      <c r="AT29">
        <v>15</v>
      </c>
      <c r="AU29" s="3"/>
      <c r="AV29" s="63">
        <v>96</v>
      </c>
      <c r="AW29" s="63">
        <v>50</v>
      </c>
      <c r="AX29" s="64">
        <v>92</v>
      </c>
      <c r="AY29" s="64">
        <v>55</v>
      </c>
      <c r="AZ29" s="3"/>
      <c r="BA29" s="228">
        <v>60</v>
      </c>
      <c r="BB29" s="228">
        <v>70</v>
      </c>
      <c r="BC29" s="228">
        <v>75</v>
      </c>
      <c r="BD29" s="229">
        <v>60</v>
      </c>
      <c r="BE29" s="3"/>
      <c r="BF29" s="228">
        <v>55</v>
      </c>
      <c r="BG29" s="228">
        <v>70</v>
      </c>
      <c r="BH29" s="228">
        <v>80</v>
      </c>
      <c r="BI29" s="229">
        <v>60</v>
      </c>
      <c r="BJ29" s="3"/>
      <c r="BK29" s="230">
        <v>90</v>
      </c>
      <c r="BL29" s="230">
        <v>90</v>
      </c>
      <c r="BM29" s="11">
        <v>85</v>
      </c>
      <c r="BN29" s="11">
        <v>90</v>
      </c>
      <c r="BO29" s="11">
        <v>95</v>
      </c>
      <c r="BP29" s="230">
        <v>85</v>
      </c>
      <c r="BQ29" s="70">
        <f t="shared" si="16"/>
        <v>89.166666666666671</v>
      </c>
      <c r="BR29" s="3"/>
      <c r="BS29" s="230">
        <v>90</v>
      </c>
      <c r="BT29" s="230">
        <v>90</v>
      </c>
      <c r="BU29" s="230">
        <v>80</v>
      </c>
      <c r="BV29" s="11">
        <v>85</v>
      </c>
      <c r="BW29" s="11">
        <v>105</v>
      </c>
      <c r="BX29" s="230">
        <v>105</v>
      </c>
      <c r="BY29" s="71">
        <f t="shared" si="3"/>
        <v>92.5</v>
      </c>
      <c r="BZ29" s="3"/>
      <c r="CA29" s="159" t="s">
        <v>276</v>
      </c>
      <c r="CB29" s="159" t="s">
        <v>277</v>
      </c>
      <c r="CC29" s="49">
        <v>2000</v>
      </c>
      <c r="CD29" s="49">
        <v>31</v>
      </c>
      <c r="CE29" s="49"/>
      <c r="CF29" s="49"/>
      <c r="CG29" s="3"/>
      <c r="CH29" t="s">
        <v>281</v>
      </c>
      <c r="CI29" t="s">
        <v>281</v>
      </c>
      <c r="CJ29" s="97"/>
      <c r="CK29" s="70">
        <v>89.166666666666671</v>
      </c>
      <c r="CL29" s="97"/>
      <c r="CM29" s="313">
        <f t="shared" si="17"/>
        <v>90</v>
      </c>
      <c r="CN29" s="313">
        <f t="shared" si="18"/>
        <v>90</v>
      </c>
      <c r="CO29" s="313">
        <f t="shared" si="19"/>
        <v>80</v>
      </c>
      <c r="CP29" s="313">
        <f t="shared" si="20"/>
        <v>65</v>
      </c>
      <c r="CQ29" s="313">
        <f t="shared" si="21"/>
        <v>50</v>
      </c>
      <c r="CR29" s="313">
        <f t="shared" si="22"/>
        <v>30</v>
      </c>
      <c r="CS29" s="97"/>
      <c r="CT29">
        <f t="shared" si="9"/>
        <v>90</v>
      </c>
      <c r="CU29">
        <f t="shared" si="10"/>
        <v>85</v>
      </c>
      <c r="CV29">
        <f t="shared" si="11"/>
        <v>75</v>
      </c>
      <c r="CW29">
        <f t="shared" si="12"/>
        <v>55</v>
      </c>
      <c r="CX29">
        <f t="shared" si="13"/>
        <v>50</v>
      </c>
      <c r="CY29">
        <f t="shared" si="15"/>
        <v>50</v>
      </c>
      <c r="CZ29" s="97"/>
    </row>
    <row r="30" spans="1:104" ht="16" x14ac:dyDescent="0.2">
      <c r="A30" s="44" t="s">
        <v>104</v>
      </c>
      <c r="B30">
        <v>888989</v>
      </c>
      <c r="E30" t="s">
        <v>78</v>
      </c>
      <c r="F30" s="21">
        <f>DATE(2025,12,20)</f>
        <v>46011</v>
      </c>
      <c r="G30" s="21"/>
      <c r="H30" s="21"/>
      <c r="I30" s="21"/>
      <c r="J30" s="21"/>
      <c r="K30" t="s">
        <v>295</v>
      </c>
      <c r="O30" s="2"/>
      <c r="P30" s="102">
        <v>0</v>
      </c>
      <c r="Q30" s="175">
        <v>1</v>
      </c>
      <c r="R30" s="175">
        <v>1</v>
      </c>
      <c r="S30" s="174">
        <v>0</v>
      </c>
      <c r="T30" s="175">
        <v>0</v>
      </c>
      <c r="U30" s="175"/>
      <c r="V30" s="2"/>
      <c r="W30">
        <v>15</v>
      </c>
      <c r="X30">
        <v>10</v>
      </c>
      <c r="Y30">
        <v>15</v>
      </c>
      <c r="Z30">
        <v>15</v>
      </c>
      <c r="AA30" s="225">
        <v>30</v>
      </c>
      <c r="AB30" s="225">
        <v>30</v>
      </c>
      <c r="AC30" s="225">
        <v>35</v>
      </c>
      <c r="AD30" s="225">
        <v>35</v>
      </c>
      <c r="AE30" s="61">
        <f t="shared" si="0"/>
        <v>17.5</v>
      </c>
      <c r="AF30" s="226" t="s">
        <v>46</v>
      </c>
      <c r="AG30" s="2"/>
      <c r="AH30">
        <v>15</v>
      </c>
      <c r="AI30">
        <v>15</v>
      </c>
      <c r="AJ30">
        <v>15</v>
      </c>
      <c r="AK30">
        <v>10</v>
      </c>
      <c r="AL30" s="225">
        <v>35</v>
      </c>
      <c r="AM30" s="225">
        <v>40</v>
      </c>
      <c r="AN30" s="225">
        <v>30</v>
      </c>
      <c r="AO30" s="225">
        <v>35</v>
      </c>
      <c r="AP30" s="61">
        <f t="shared" si="1"/>
        <v>20</v>
      </c>
      <c r="AQ30" s="227" t="s">
        <v>46</v>
      </c>
      <c r="AR30" s="2"/>
      <c r="AS30">
        <v>10</v>
      </c>
      <c r="AT30">
        <v>20</v>
      </c>
      <c r="AU30" s="3"/>
      <c r="AV30" s="280">
        <v>92</v>
      </c>
      <c r="AW30" s="280">
        <v>50</v>
      </c>
      <c r="AX30" s="281">
        <v>96</v>
      </c>
      <c r="AY30" s="281">
        <v>60</v>
      </c>
      <c r="AZ30" s="3"/>
      <c r="BA30" s="225">
        <v>75</v>
      </c>
      <c r="BB30" s="225">
        <v>75</v>
      </c>
      <c r="BC30" s="225">
        <v>80</v>
      </c>
      <c r="BD30" s="282">
        <v>60</v>
      </c>
      <c r="BE30" s="3"/>
      <c r="BF30" s="225">
        <v>80</v>
      </c>
      <c r="BG30" s="225">
        <v>85</v>
      </c>
      <c r="BH30" s="282">
        <v>80</v>
      </c>
      <c r="BI30" s="282">
        <v>60</v>
      </c>
      <c r="BJ30" s="3"/>
      <c r="BK30">
        <v>85</v>
      </c>
      <c r="BL30">
        <v>90</v>
      </c>
      <c r="BM30">
        <v>95</v>
      </c>
      <c r="BN30">
        <v>95</v>
      </c>
      <c r="BO30">
        <v>100</v>
      </c>
      <c r="BP30">
        <v>90</v>
      </c>
      <c r="BQ30" s="70">
        <f t="shared" si="16"/>
        <v>92.5</v>
      </c>
      <c r="BR30" s="3"/>
      <c r="BS30">
        <v>80</v>
      </c>
      <c r="BT30">
        <v>90</v>
      </c>
      <c r="BU30">
        <v>85</v>
      </c>
      <c r="BV30">
        <v>85</v>
      </c>
      <c r="BW30">
        <v>95</v>
      </c>
      <c r="BX30">
        <v>95</v>
      </c>
      <c r="BY30" s="71">
        <f t="shared" si="3"/>
        <v>88.333333333333329</v>
      </c>
      <c r="BZ30" s="3"/>
      <c r="CA30" s="225" t="s">
        <v>276</v>
      </c>
      <c r="CB30" s="225" t="s">
        <v>296</v>
      </c>
      <c r="CC30" s="225">
        <v>4000</v>
      </c>
      <c r="CD30" s="225">
        <v>27</v>
      </c>
      <c r="CE30" s="225"/>
      <c r="CF30" s="225"/>
      <c r="CG30" s="3"/>
      <c r="CH30" t="s">
        <v>281</v>
      </c>
      <c r="CI30" t="s">
        <v>279</v>
      </c>
      <c r="CJ30" s="97"/>
      <c r="CK30" s="71">
        <v>88.333333333333329</v>
      </c>
      <c r="CL30" s="97"/>
      <c r="CM30" s="313">
        <f t="shared" si="17"/>
        <v>70</v>
      </c>
      <c r="CN30" s="313">
        <f t="shared" si="18"/>
        <v>80</v>
      </c>
      <c r="CO30" s="313">
        <f t="shared" si="19"/>
        <v>80</v>
      </c>
      <c r="CP30" s="313">
        <f t="shared" si="20"/>
        <v>80</v>
      </c>
      <c r="CQ30" s="313">
        <f t="shared" si="21"/>
        <v>70</v>
      </c>
      <c r="CR30" s="313">
        <f t="shared" si="22"/>
        <v>55</v>
      </c>
      <c r="CS30" s="97"/>
      <c r="CT30">
        <f t="shared" si="9"/>
        <v>65</v>
      </c>
      <c r="CU30">
        <f t="shared" si="10"/>
        <v>75</v>
      </c>
      <c r="CV30">
        <f t="shared" si="11"/>
        <v>70</v>
      </c>
      <c r="CW30">
        <f t="shared" si="12"/>
        <v>75</v>
      </c>
      <c r="CX30">
        <f t="shared" si="13"/>
        <v>55</v>
      </c>
      <c r="CY30">
        <f t="shared" si="15"/>
        <v>60</v>
      </c>
      <c r="CZ30" s="97"/>
    </row>
    <row r="31" spans="1:104" ht="16" customHeight="1" x14ac:dyDescent="0.2">
      <c r="A31" s="44" t="s">
        <v>105</v>
      </c>
      <c r="B31">
        <v>131577</v>
      </c>
      <c r="E31" t="s">
        <v>79</v>
      </c>
      <c r="F31" s="21">
        <f>DATE(2025,12,5)</f>
        <v>45996</v>
      </c>
      <c r="G31" s="21"/>
      <c r="H31" s="21"/>
      <c r="I31" s="21"/>
      <c r="J31" s="21"/>
      <c r="O31" s="2"/>
      <c r="P31" s="102">
        <v>0</v>
      </c>
      <c r="Q31" s="102">
        <v>0</v>
      </c>
      <c r="R31" s="175">
        <v>0</v>
      </c>
      <c r="S31" s="174">
        <v>1</v>
      </c>
      <c r="T31" s="175">
        <v>1</v>
      </c>
      <c r="U31" s="175"/>
      <c r="V31" s="2"/>
      <c r="W31" s="269">
        <v>5</v>
      </c>
      <c r="X31" s="269">
        <v>10</v>
      </c>
      <c r="Y31" s="269">
        <v>10</v>
      </c>
      <c r="Z31" s="269">
        <v>15</v>
      </c>
      <c r="AA31" s="269">
        <v>5</v>
      </c>
      <c r="AB31" s="269">
        <v>5</v>
      </c>
      <c r="AC31" s="269">
        <v>0</v>
      </c>
      <c r="AD31" s="269">
        <v>5</v>
      </c>
      <c r="AE31" s="61">
        <f t="shared" si="0"/>
        <v>10</v>
      </c>
      <c r="AF31" s="57" t="s">
        <v>41</v>
      </c>
      <c r="AG31" s="2"/>
      <c r="AH31">
        <v>5</v>
      </c>
      <c r="AI31">
        <v>5</v>
      </c>
      <c r="AJ31">
        <v>10</v>
      </c>
      <c r="AK31" s="103">
        <v>0</v>
      </c>
      <c r="AL31" s="103">
        <v>5</v>
      </c>
      <c r="AM31" s="103">
        <v>5</v>
      </c>
      <c r="AN31" s="103">
        <v>-5</v>
      </c>
      <c r="AO31" s="103">
        <v>0</v>
      </c>
      <c r="AP31" s="61">
        <f t="shared" si="1"/>
        <v>5</v>
      </c>
      <c r="AQ31" s="4" t="s">
        <v>41</v>
      </c>
      <c r="AR31" s="2"/>
      <c r="AS31">
        <v>5</v>
      </c>
      <c r="AT31">
        <v>0</v>
      </c>
      <c r="AU31" s="3"/>
      <c r="AV31" s="63">
        <v>100</v>
      </c>
      <c r="AW31" s="63">
        <v>45</v>
      </c>
      <c r="AX31" s="64">
        <v>100</v>
      </c>
      <c r="AY31" s="64">
        <v>40</v>
      </c>
      <c r="AZ31" s="3"/>
      <c r="BA31" s="270">
        <v>0</v>
      </c>
      <c r="BB31" s="270">
        <v>-5</v>
      </c>
      <c r="BC31" s="270">
        <v>-5</v>
      </c>
      <c r="BD31" s="271">
        <v>-5</v>
      </c>
      <c r="BE31" s="3"/>
      <c r="BF31" s="270">
        <v>5</v>
      </c>
      <c r="BG31" s="270">
        <v>5</v>
      </c>
      <c r="BH31" s="270">
        <v>0</v>
      </c>
      <c r="BI31" s="270">
        <v>-20</v>
      </c>
      <c r="BJ31" s="3"/>
      <c r="BK31" s="230">
        <v>105</v>
      </c>
      <c r="BL31" s="230">
        <v>105</v>
      </c>
      <c r="BM31" s="11">
        <v>95</v>
      </c>
      <c r="BN31" s="11">
        <v>90</v>
      </c>
      <c r="BO31" s="11">
        <v>95</v>
      </c>
      <c r="BP31" s="230">
        <v>95</v>
      </c>
      <c r="BQ31" s="70">
        <f t="shared" si="16"/>
        <v>97.5</v>
      </c>
      <c r="BR31" s="3"/>
      <c r="BS31" s="230">
        <v>110</v>
      </c>
      <c r="BT31" s="230">
        <v>100</v>
      </c>
      <c r="BU31" s="230">
        <v>100</v>
      </c>
      <c r="BV31" s="11">
        <v>95</v>
      </c>
      <c r="BW31" s="11">
        <v>95</v>
      </c>
      <c r="BX31" s="230">
        <v>105</v>
      </c>
      <c r="BY31" s="71">
        <f t="shared" si="3"/>
        <v>100.83333333333333</v>
      </c>
      <c r="BZ31" s="3"/>
      <c r="CA31" s="433" t="s">
        <v>280</v>
      </c>
      <c r="CB31" s="433"/>
      <c r="CC31" s="433"/>
      <c r="CD31" s="433"/>
      <c r="CE31" s="433"/>
      <c r="CF31" s="433"/>
      <c r="CG31" s="3"/>
      <c r="CH31" t="s">
        <v>297</v>
      </c>
      <c r="CI31" t="s">
        <v>297</v>
      </c>
      <c r="CJ31" s="97"/>
      <c r="CK31" s="70">
        <v>97.5</v>
      </c>
      <c r="CL31" s="97"/>
      <c r="CM31" s="313">
        <f t="shared" si="17"/>
        <v>100</v>
      </c>
      <c r="CN31" s="313">
        <f t="shared" si="18"/>
        <v>95</v>
      </c>
      <c r="CO31" s="313">
        <f t="shared" si="19"/>
        <v>85</v>
      </c>
      <c r="CP31" s="313">
        <f t="shared" si="20"/>
        <v>75</v>
      </c>
      <c r="CQ31" s="313">
        <f t="shared" si="21"/>
        <v>90</v>
      </c>
      <c r="CR31" s="313">
        <f t="shared" si="22"/>
        <v>90</v>
      </c>
      <c r="CS31" s="97"/>
      <c r="CT31">
        <f t="shared" si="9"/>
        <v>105</v>
      </c>
      <c r="CU31">
        <f t="shared" si="10"/>
        <v>95</v>
      </c>
      <c r="CV31">
        <f t="shared" si="11"/>
        <v>90</v>
      </c>
      <c r="CW31">
        <f t="shared" si="12"/>
        <v>95</v>
      </c>
      <c r="CX31">
        <f t="shared" si="13"/>
        <v>90</v>
      </c>
      <c r="CY31">
        <f t="shared" si="15"/>
        <v>105</v>
      </c>
      <c r="CZ31" s="97"/>
    </row>
    <row r="32" spans="1:104" ht="16" x14ac:dyDescent="0.2">
      <c r="A32" t="s">
        <v>106</v>
      </c>
      <c r="B32">
        <v>830521</v>
      </c>
      <c r="E32" t="s">
        <v>80</v>
      </c>
      <c r="F32" s="21">
        <v>46055</v>
      </c>
      <c r="G32" s="21"/>
      <c r="H32" s="21"/>
      <c r="I32" s="21"/>
      <c r="O32" s="2"/>
      <c r="P32" s="102">
        <v>0</v>
      </c>
      <c r="Q32" s="101">
        <v>1</v>
      </c>
      <c r="R32" s="101">
        <v>1</v>
      </c>
      <c r="S32" s="101">
        <v>0</v>
      </c>
      <c r="T32" s="101">
        <v>0</v>
      </c>
      <c r="U32" s="101"/>
      <c r="V32" s="2"/>
      <c r="W32">
        <v>0</v>
      </c>
      <c r="X32">
        <v>5</v>
      </c>
      <c r="Y32">
        <v>15</v>
      </c>
      <c r="Z32" s="225">
        <v>30</v>
      </c>
      <c r="AA32" s="225">
        <v>50</v>
      </c>
      <c r="AB32" s="225">
        <v>60</v>
      </c>
      <c r="AC32" s="225">
        <v>60</v>
      </c>
      <c r="AD32" s="225">
        <v>60</v>
      </c>
      <c r="AE32" s="60">
        <f t="shared" si="0"/>
        <v>27.5</v>
      </c>
      <c r="AF32" s="226" t="s">
        <v>46</v>
      </c>
      <c r="AG32" s="2"/>
      <c r="AH32">
        <v>0</v>
      </c>
      <c r="AI32">
        <v>5</v>
      </c>
      <c r="AJ32">
        <v>20</v>
      </c>
      <c r="AK32" s="225">
        <v>30</v>
      </c>
      <c r="AL32" s="225">
        <v>60</v>
      </c>
      <c r="AM32" s="225">
        <v>60</v>
      </c>
      <c r="AN32" s="225">
        <v>60</v>
      </c>
      <c r="AO32" s="225">
        <v>75</v>
      </c>
      <c r="AP32" s="60">
        <f t="shared" si="1"/>
        <v>28.75</v>
      </c>
      <c r="AQ32" s="227" t="s">
        <v>46</v>
      </c>
      <c r="AR32" s="2"/>
      <c r="AS32">
        <v>15</v>
      </c>
      <c r="AT32">
        <v>20</v>
      </c>
      <c r="AU32" s="3"/>
      <c r="AV32" s="63">
        <v>100</v>
      </c>
      <c r="AW32" s="63">
        <v>55</v>
      </c>
      <c r="AX32" s="281">
        <v>96</v>
      </c>
      <c r="AY32" s="281">
        <v>60</v>
      </c>
      <c r="AZ32" s="3"/>
      <c r="BA32" s="228">
        <v>60</v>
      </c>
      <c r="BB32" s="228">
        <v>60</v>
      </c>
      <c r="BC32" s="228">
        <v>60</v>
      </c>
      <c r="BD32" s="49">
        <v>55</v>
      </c>
      <c r="BE32" s="3"/>
      <c r="BF32" s="228">
        <v>75</v>
      </c>
      <c r="BG32" s="225">
        <v>80</v>
      </c>
      <c r="BH32" s="228">
        <v>75</v>
      </c>
      <c r="BI32" s="282">
        <v>60</v>
      </c>
      <c r="BJ32" s="3"/>
      <c r="BK32">
        <v>110</v>
      </c>
      <c r="BL32">
        <v>115</v>
      </c>
      <c r="BM32">
        <v>110</v>
      </c>
      <c r="BN32">
        <v>115</v>
      </c>
      <c r="BO32">
        <v>115</v>
      </c>
      <c r="BP32">
        <v>105</v>
      </c>
      <c r="BQ32" s="70">
        <f t="shared" si="16"/>
        <v>111.66666666666667</v>
      </c>
      <c r="BR32" s="3"/>
      <c r="BS32">
        <v>110</v>
      </c>
      <c r="BT32">
        <v>110</v>
      </c>
      <c r="BU32">
        <v>105</v>
      </c>
      <c r="BV32">
        <v>115</v>
      </c>
      <c r="BW32">
        <v>115</v>
      </c>
      <c r="BX32">
        <v>105</v>
      </c>
      <c r="BY32" s="71">
        <f t="shared" si="3"/>
        <v>110</v>
      </c>
      <c r="BZ32" s="3"/>
      <c r="CA32" s="301" t="s">
        <v>283</v>
      </c>
      <c r="CB32" s="301" t="s">
        <v>277</v>
      </c>
      <c r="CC32" s="301">
        <v>8000</v>
      </c>
      <c r="CD32" s="301">
        <v>75</v>
      </c>
      <c r="CE32" s="301"/>
      <c r="CF32" s="301"/>
      <c r="CG32" s="3"/>
      <c r="CH32" t="s">
        <v>281</v>
      </c>
      <c r="CI32" t="s">
        <v>282</v>
      </c>
      <c r="CJ32" s="97"/>
      <c r="CK32" s="71">
        <v>110</v>
      </c>
      <c r="CL32" s="97"/>
      <c r="CM32" s="313">
        <f t="shared" si="17"/>
        <v>110</v>
      </c>
      <c r="CN32" s="313">
        <f t="shared" si="18"/>
        <v>110</v>
      </c>
      <c r="CO32" s="313">
        <f t="shared" si="19"/>
        <v>95</v>
      </c>
      <c r="CP32" s="313">
        <f t="shared" si="20"/>
        <v>85</v>
      </c>
      <c r="CQ32" s="313">
        <f t="shared" si="21"/>
        <v>55</v>
      </c>
      <c r="CR32" s="313">
        <f t="shared" si="22"/>
        <v>45</v>
      </c>
      <c r="CS32" s="97"/>
      <c r="CT32">
        <f t="shared" si="9"/>
        <v>110</v>
      </c>
      <c r="CU32">
        <f t="shared" si="10"/>
        <v>105</v>
      </c>
      <c r="CV32">
        <f t="shared" si="11"/>
        <v>85</v>
      </c>
      <c r="CW32">
        <f t="shared" si="12"/>
        <v>85</v>
      </c>
      <c r="CX32">
        <f t="shared" si="13"/>
        <v>55</v>
      </c>
      <c r="CY32">
        <f t="shared" si="15"/>
        <v>30</v>
      </c>
      <c r="CZ32" s="97"/>
    </row>
    <row r="33" spans="1:108" ht="16" x14ac:dyDescent="0.2">
      <c r="A33" s="44" t="s">
        <v>107</v>
      </c>
      <c r="B33">
        <v>927692</v>
      </c>
      <c r="E33" t="s">
        <v>81</v>
      </c>
      <c r="F33" s="21">
        <v>46056</v>
      </c>
      <c r="G33" s="21"/>
      <c r="H33" s="21"/>
      <c r="I33" s="21"/>
      <c r="L33" s="248" t="s">
        <v>298</v>
      </c>
      <c r="M33" s="248"/>
      <c r="N33" s="248"/>
      <c r="O33" s="2"/>
      <c r="P33" s="102">
        <v>0</v>
      </c>
      <c r="Q33" s="101">
        <v>1</v>
      </c>
      <c r="R33" s="101">
        <v>1</v>
      </c>
      <c r="S33" s="101">
        <v>1</v>
      </c>
      <c r="T33" s="101">
        <v>0</v>
      </c>
      <c r="U33" s="101"/>
      <c r="V33" s="2"/>
      <c r="W33">
        <v>5</v>
      </c>
      <c r="X33">
        <v>10</v>
      </c>
      <c r="Y33">
        <v>15</v>
      </c>
      <c r="Z33">
        <v>15</v>
      </c>
      <c r="AA33">
        <v>15</v>
      </c>
      <c r="AB33">
        <v>20</v>
      </c>
      <c r="AC33">
        <v>25</v>
      </c>
      <c r="AD33" s="225">
        <v>30</v>
      </c>
      <c r="AE33" s="61">
        <f t="shared" si="0"/>
        <v>15</v>
      </c>
      <c r="AF33" s="226" t="s">
        <v>46</v>
      </c>
      <c r="AG33" s="2"/>
      <c r="AH33">
        <v>5</v>
      </c>
      <c r="AI33">
        <v>15</v>
      </c>
      <c r="AJ33">
        <v>20</v>
      </c>
      <c r="AK33">
        <v>5</v>
      </c>
      <c r="AL33" s="103">
        <v>10</v>
      </c>
      <c r="AM33" s="103">
        <v>25</v>
      </c>
      <c r="AN33" s="225">
        <v>30</v>
      </c>
      <c r="AO33" s="225">
        <v>35</v>
      </c>
      <c r="AP33" s="61">
        <f t="shared" si="1"/>
        <v>16.25</v>
      </c>
      <c r="AQ33" s="227" t="s">
        <v>46</v>
      </c>
      <c r="AR33" s="2"/>
      <c r="AS33">
        <v>15</v>
      </c>
      <c r="AT33">
        <v>10</v>
      </c>
      <c r="AU33" s="3"/>
      <c r="AV33" s="63">
        <v>100</v>
      </c>
      <c r="AW33" s="63">
        <v>55</v>
      </c>
      <c r="AX33" s="281">
        <v>100</v>
      </c>
      <c r="AY33" s="281">
        <v>50</v>
      </c>
      <c r="AZ33" s="3"/>
      <c r="BA33" s="228">
        <v>35</v>
      </c>
      <c r="BB33" s="228">
        <v>60</v>
      </c>
      <c r="BC33" s="228">
        <v>65</v>
      </c>
      <c r="BD33" s="49">
        <v>60</v>
      </c>
      <c r="BE33" s="3"/>
      <c r="BF33" s="228">
        <v>35</v>
      </c>
      <c r="BG33" s="225">
        <v>60</v>
      </c>
      <c r="BH33" s="228">
        <v>70</v>
      </c>
      <c r="BI33" s="300">
        <v>60</v>
      </c>
      <c r="BJ33" s="3"/>
      <c r="BK33" s="230">
        <v>100</v>
      </c>
      <c r="BL33" s="230">
        <v>100</v>
      </c>
      <c r="BM33" s="230">
        <v>100</v>
      </c>
      <c r="BN33" s="230">
        <v>100</v>
      </c>
      <c r="BO33" s="230">
        <v>100</v>
      </c>
      <c r="BP33" s="230">
        <v>100</v>
      </c>
      <c r="BQ33" s="70">
        <f t="shared" si="16"/>
        <v>100</v>
      </c>
      <c r="BR33" s="3"/>
      <c r="BS33" s="230">
        <v>100</v>
      </c>
      <c r="BT33" s="230">
        <v>100</v>
      </c>
      <c r="BU33" s="230">
        <v>100</v>
      </c>
      <c r="BV33" s="230">
        <v>100</v>
      </c>
      <c r="BW33" s="230">
        <v>100</v>
      </c>
      <c r="BX33" s="230">
        <v>100</v>
      </c>
      <c r="BY33" s="71">
        <f t="shared" si="3"/>
        <v>100</v>
      </c>
      <c r="BZ33" s="3"/>
      <c r="CA33" s="301" t="s">
        <v>283</v>
      </c>
      <c r="CB33" s="301" t="s">
        <v>277</v>
      </c>
      <c r="CC33" s="301">
        <v>14000</v>
      </c>
      <c r="CD33" s="301">
        <v>80</v>
      </c>
      <c r="CE33" s="301"/>
      <c r="CF33" s="301"/>
      <c r="CG33" s="3"/>
      <c r="CH33" t="s">
        <v>281</v>
      </c>
      <c r="CI33" t="s">
        <v>281</v>
      </c>
      <c r="CJ33" s="97"/>
      <c r="CK33" s="70">
        <v>100</v>
      </c>
      <c r="CL33" s="97"/>
      <c r="CM33" s="313">
        <f t="shared" si="17"/>
        <v>95</v>
      </c>
      <c r="CN33" s="313">
        <f t="shared" si="18"/>
        <v>90</v>
      </c>
      <c r="CO33" s="313">
        <f t="shared" si="19"/>
        <v>85</v>
      </c>
      <c r="CP33" s="313">
        <f t="shared" si="20"/>
        <v>85</v>
      </c>
      <c r="CQ33" s="313">
        <f t="shared" si="21"/>
        <v>80</v>
      </c>
      <c r="CR33" s="313">
        <f t="shared" si="22"/>
        <v>70</v>
      </c>
      <c r="CS33" s="97"/>
      <c r="CT33">
        <f t="shared" si="9"/>
        <v>95</v>
      </c>
      <c r="CU33">
        <f t="shared" si="10"/>
        <v>85</v>
      </c>
      <c r="CV33">
        <f t="shared" si="11"/>
        <v>80</v>
      </c>
      <c r="CW33">
        <f t="shared" si="12"/>
        <v>95</v>
      </c>
      <c r="CX33">
        <f t="shared" si="13"/>
        <v>75</v>
      </c>
      <c r="CY33">
        <f t="shared" si="15"/>
        <v>65</v>
      </c>
      <c r="CZ33" s="97"/>
    </row>
    <row r="34" spans="1:108" ht="16" x14ac:dyDescent="0.2">
      <c r="A34" s="44" t="s">
        <v>299</v>
      </c>
      <c r="B34">
        <v>793050</v>
      </c>
      <c r="E34" t="s">
        <v>300</v>
      </c>
      <c r="F34" s="21">
        <v>46163</v>
      </c>
      <c r="J34" s="20"/>
      <c r="M34">
        <v>1</v>
      </c>
      <c r="O34" s="2"/>
      <c r="P34" s="102">
        <v>0</v>
      </c>
      <c r="Q34" s="174">
        <v>1</v>
      </c>
      <c r="R34" s="174">
        <v>0</v>
      </c>
      <c r="S34" s="174">
        <v>0</v>
      </c>
      <c r="T34" s="174">
        <v>0</v>
      </c>
      <c r="U34" s="174"/>
      <c r="V34" s="2"/>
      <c r="W34" s="50">
        <v>15</v>
      </c>
      <c r="X34" s="50">
        <v>15</v>
      </c>
      <c r="Y34" s="50">
        <v>20</v>
      </c>
      <c r="Z34" s="50">
        <v>20</v>
      </c>
      <c r="AA34" s="49">
        <v>40</v>
      </c>
      <c r="AB34" s="228">
        <v>50</v>
      </c>
      <c r="AC34" s="228">
        <v>60</v>
      </c>
      <c r="AD34" s="49">
        <v>55</v>
      </c>
      <c r="AE34" s="39">
        <v>55</v>
      </c>
      <c r="AF34" s="226" t="s">
        <v>46</v>
      </c>
      <c r="AG34" s="2"/>
      <c r="AH34" s="50">
        <v>10</v>
      </c>
      <c r="AI34" s="50">
        <v>15</v>
      </c>
      <c r="AJ34" s="50">
        <v>20</v>
      </c>
      <c r="AK34" s="11">
        <v>20</v>
      </c>
      <c r="AL34" s="228">
        <v>35</v>
      </c>
      <c r="AM34" s="228">
        <v>45</v>
      </c>
      <c r="AN34" s="228">
        <v>50</v>
      </c>
      <c r="AO34" s="228">
        <v>50</v>
      </c>
      <c r="AP34" s="61">
        <f t="shared" si="1"/>
        <v>25</v>
      </c>
      <c r="AQ34" s="347" t="s">
        <v>46</v>
      </c>
      <c r="AR34" s="2"/>
      <c r="AS34" s="343">
        <v>25</v>
      </c>
      <c r="AT34" s="343">
        <v>25</v>
      </c>
      <c r="AU34" s="3"/>
      <c r="AV34" s="63">
        <v>84</v>
      </c>
      <c r="AW34" s="63">
        <v>65</v>
      </c>
      <c r="AX34" s="342">
        <v>92</v>
      </c>
      <c r="AY34" s="342">
        <v>65</v>
      </c>
      <c r="AZ34" s="3"/>
      <c r="BA34" s="49">
        <v>65</v>
      </c>
      <c r="BB34" s="49">
        <v>70</v>
      </c>
      <c r="BC34" s="49">
        <v>75</v>
      </c>
      <c r="BD34" s="49">
        <v>50</v>
      </c>
      <c r="BE34" s="3"/>
      <c r="BF34" s="49">
        <v>55</v>
      </c>
      <c r="BG34" s="49">
        <v>60</v>
      </c>
      <c r="BH34" s="30">
        <v>75</v>
      </c>
      <c r="BI34" s="30">
        <v>50</v>
      </c>
      <c r="BJ34" s="3"/>
      <c r="BK34" s="11">
        <v>100</v>
      </c>
      <c r="BL34" s="11">
        <v>100</v>
      </c>
      <c r="BM34" s="11">
        <v>100</v>
      </c>
      <c r="BN34" s="11">
        <v>100</v>
      </c>
      <c r="BO34" s="11">
        <v>100</v>
      </c>
      <c r="BP34" s="11">
        <v>100</v>
      </c>
      <c r="BQ34" s="70">
        <f t="shared" si="16"/>
        <v>100</v>
      </c>
      <c r="BR34" s="3"/>
      <c r="BS34" s="11">
        <v>100</v>
      </c>
      <c r="BT34" s="11">
        <v>100</v>
      </c>
      <c r="BU34" s="11">
        <v>100</v>
      </c>
      <c r="BV34" s="11">
        <v>100</v>
      </c>
      <c r="BW34" s="11">
        <v>100</v>
      </c>
      <c r="BX34" s="11">
        <v>100</v>
      </c>
      <c r="BY34" s="71">
        <f t="shared" si="3"/>
        <v>100</v>
      </c>
      <c r="BZ34" s="3"/>
      <c r="CA34" s="433" t="s">
        <v>280</v>
      </c>
      <c r="CB34" s="433"/>
      <c r="CC34" s="433"/>
      <c r="CD34" s="433"/>
      <c r="CE34" s="433"/>
      <c r="CF34" s="433"/>
      <c r="CG34" s="3"/>
      <c r="CH34" s="344" t="s">
        <v>281</v>
      </c>
      <c r="CI34" s="344" t="s">
        <v>281</v>
      </c>
      <c r="CJ34" s="97"/>
      <c r="CK34" s="345">
        <v>100</v>
      </c>
      <c r="CL34" s="97"/>
      <c r="CM34" s="313">
        <f>BK34-W34</f>
        <v>85</v>
      </c>
      <c r="CN34" s="313">
        <f t="shared" ref="CN34:CP35" si="23">BL34-X34</f>
        <v>85</v>
      </c>
      <c r="CO34" s="313">
        <f t="shared" si="23"/>
        <v>80</v>
      </c>
      <c r="CP34" s="313">
        <f>BN34-Z34</f>
        <v>80</v>
      </c>
      <c r="CQ34" s="313">
        <f t="shared" si="21"/>
        <v>50</v>
      </c>
      <c r="CR34" s="313">
        <f t="shared" si="22"/>
        <v>45</v>
      </c>
      <c r="CS34" s="97"/>
      <c r="CT34">
        <f>BS34-AH34</f>
        <v>90</v>
      </c>
      <c r="CU34">
        <f t="shared" ref="CU34:CW35" si="24">BT34-AI34</f>
        <v>85</v>
      </c>
      <c r="CV34">
        <f t="shared" si="24"/>
        <v>80</v>
      </c>
      <c r="CW34">
        <f t="shared" si="24"/>
        <v>80</v>
      </c>
      <c r="CX34">
        <f t="shared" si="13"/>
        <v>55</v>
      </c>
      <c r="CY34">
        <f t="shared" si="15"/>
        <v>50</v>
      </c>
      <c r="CZ34" s="97"/>
    </row>
    <row r="35" spans="1:108" ht="16" x14ac:dyDescent="0.2">
      <c r="A35" s="44" t="s">
        <v>301</v>
      </c>
      <c r="B35" s="103">
        <v>62787</v>
      </c>
      <c r="E35" t="s">
        <v>302</v>
      </c>
      <c r="F35" s="21">
        <v>46174</v>
      </c>
      <c r="L35" t="s">
        <v>303</v>
      </c>
      <c r="M35">
        <v>0</v>
      </c>
      <c r="O35" s="2"/>
      <c r="P35" s="102">
        <v>0</v>
      </c>
      <c r="Q35" s="174">
        <v>1</v>
      </c>
      <c r="R35" s="174">
        <v>1</v>
      </c>
      <c r="S35" s="174">
        <v>1</v>
      </c>
      <c r="T35" s="174">
        <v>0</v>
      </c>
      <c r="U35" s="174"/>
      <c r="V35" s="2"/>
      <c r="W35" s="11">
        <v>10</v>
      </c>
      <c r="X35" s="31">
        <v>20</v>
      </c>
      <c r="Y35" s="31">
        <v>25</v>
      </c>
      <c r="Z35" s="335">
        <v>45</v>
      </c>
      <c r="AA35" s="335">
        <v>45</v>
      </c>
      <c r="AB35" s="335">
        <v>40</v>
      </c>
      <c r="AC35" s="277">
        <v>25</v>
      </c>
      <c r="AD35" s="335">
        <v>60</v>
      </c>
      <c r="AE35" s="60">
        <f t="shared" ref="AE35" si="25">AVERAGE(X35:Z35,AB35)</f>
        <v>32.5</v>
      </c>
      <c r="AF35" s="226" t="s">
        <v>46</v>
      </c>
      <c r="AG35" s="2"/>
      <c r="AH35" s="31">
        <v>15</v>
      </c>
      <c r="AI35" s="31">
        <v>15</v>
      </c>
      <c r="AJ35" s="31">
        <v>25</v>
      </c>
      <c r="AK35" s="335">
        <v>40</v>
      </c>
      <c r="AL35" s="335">
        <v>50</v>
      </c>
      <c r="AM35" s="335">
        <v>45</v>
      </c>
      <c r="AN35" s="335">
        <v>55</v>
      </c>
      <c r="AO35" s="48">
        <v>60</v>
      </c>
      <c r="AP35" s="60">
        <f t="shared" si="1"/>
        <v>31.25</v>
      </c>
      <c r="AQ35" s="347" t="s">
        <v>46</v>
      </c>
      <c r="AR35" s="2"/>
      <c r="AS35" s="48">
        <v>30</v>
      </c>
      <c r="AT35" s="48">
        <v>30</v>
      </c>
      <c r="AU35" s="3"/>
      <c r="AV35" s="63">
        <v>92</v>
      </c>
      <c r="AW35" s="63">
        <v>70</v>
      </c>
      <c r="AX35" s="64">
        <v>96</v>
      </c>
      <c r="AY35" s="64">
        <v>70</v>
      </c>
      <c r="AZ35" s="3"/>
      <c r="BA35" s="228">
        <v>80</v>
      </c>
      <c r="BB35" s="228">
        <v>85</v>
      </c>
      <c r="BC35" s="49">
        <v>80</v>
      </c>
      <c r="BD35" s="263">
        <v>60</v>
      </c>
      <c r="BE35" s="3"/>
      <c r="BF35" s="228">
        <v>85</v>
      </c>
      <c r="BG35" s="228">
        <v>90</v>
      </c>
      <c r="BH35" s="49">
        <v>80</v>
      </c>
      <c r="BI35" s="263">
        <v>60</v>
      </c>
      <c r="BJ35" s="3"/>
      <c r="BK35" s="228">
        <v>75</v>
      </c>
      <c r="BL35" s="228">
        <v>70</v>
      </c>
      <c r="BM35" s="11">
        <v>80</v>
      </c>
      <c r="BN35" s="11">
        <v>90</v>
      </c>
      <c r="BO35" s="11">
        <v>95</v>
      </c>
      <c r="BP35" s="11">
        <v>100</v>
      </c>
      <c r="BQ35" s="70">
        <f t="shared" si="16"/>
        <v>85</v>
      </c>
      <c r="BR35" s="3"/>
      <c r="BS35" s="228">
        <v>70</v>
      </c>
      <c r="BT35" s="228">
        <v>70</v>
      </c>
      <c r="BU35" s="228">
        <v>70</v>
      </c>
      <c r="BV35" s="11">
        <v>80</v>
      </c>
      <c r="BW35" s="11">
        <v>85</v>
      </c>
      <c r="BX35" s="11">
        <v>85</v>
      </c>
      <c r="BY35" s="72">
        <f t="shared" si="3"/>
        <v>76.666666666666671</v>
      </c>
      <c r="BZ35" s="3"/>
      <c r="CA35" s="346"/>
      <c r="CB35" s="346"/>
      <c r="CC35" s="346"/>
      <c r="CD35" s="346"/>
      <c r="CE35" s="346"/>
      <c r="CF35" s="346"/>
      <c r="CG35" s="3"/>
      <c r="CH35" s="44" t="s">
        <v>281</v>
      </c>
      <c r="CI35" s="44" t="s">
        <v>281</v>
      </c>
      <c r="CJ35" s="97"/>
      <c r="CK35" s="349">
        <v>77</v>
      </c>
      <c r="CL35" s="97"/>
      <c r="CM35" s="313">
        <f>BK35-W35</f>
        <v>65</v>
      </c>
      <c r="CN35" s="313">
        <f t="shared" si="23"/>
        <v>50</v>
      </c>
      <c r="CO35" s="313">
        <f t="shared" si="23"/>
        <v>55</v>
      </c>
      <c r="CP35" s="313">
        <f t="shared" si="23"/>
        <v>45</v>
      </c>
      <c r="CQ35" s="313">
        <f t="shared" si="21"/>
        <v>55</v>
      </c>
      <c r="CR35" s="313">
        <f t="shared" si="22"/>
        <v>40</v>
      </c>
      <c r="CS35" s="97"/>
      <c r="CT35">
        <f>BS35-AH35</f>
        <v>55</v>
      </c>
      <c r="CU35">
        <f t="shared" si="24"/>
        <v>55</v>
      </c>
      <c r="CV35">
        <f t="shared" si="24"/>
        <v>45</v>
      </c>
      <c r="CW35">
        <f t="shared" si="24"/>
        <v>40</v>
      </c>
      <c r="CX35">
        <f t="shared" si="13"/>
        <v>40</v>
      </c>
      <c r="CY35">
        <f t="shared" si="15"/>
        <v>25</v>
      </c>
      <c r="CZ35" s="97"/>
    </row>
    <row r="36" spans="1:108" ht="16" x14ac:dyDescent="0.2">
      <c r="A36" s="44" t="s">
        <v>304</v>
      </c>
      <c r="B36" s="340">
        <v>386644</v>
      </c>
      <c r="C36" s="1"/>
      <c r="E36" t="s">
        <v>305</v>
      </c>
      <c r="F36" s="21">
        <v>46182</v>
      </c>
      <c r="K36" t="s">
        <v>306</v>
      </c>
      <c r="L36" t="s">
        <v>307</v>
      </c>
      <c r="O36" s="2"/>
      <c r="P36" s="101">
        <v>0</v>
      </c>
      <c r="Q36" s="101">
        <v>1</v>
      </c>
      <c r="R36" s="101">
        <v>1</v>
      </c>
      <c r="S36" s="101">
        <v>1</v>
      </c>
      <c r="T36" s="101">
        <v>1</v>
      </c>
      <c r="U36" s="101"/>
      <c r="V36" s="2"/>
      <c r="W36">
        <v>15</v>
      </c>
      <c r="X36">
        <v>15</v>
      </c>
      <c r="Y36">
        <v>15</v>
      </c>
      <c r="Z36">
        <v>5</v>
      </c>
      <c r="AA36">
        <v>5</v>
      </c>
      <c r="AB36">
        <v>15</v>
      </c>
      <c r="AC36">
        <v>10</v>
      </c>
      <c r="AD36">
        <v>15</v>
      </c>
      <c r="AE36" s="350">
        <v>12</v>
      </c>
      <c r="AF36" s="4" t="s">
        <v>41</v>
      </c>
      <c r="AG36" s="2"/>
      <c r="AH36">
        <v>15</v>
      </c>
      <c r="AI36">
        <v>20</v>
      </c>
      <c r="AJ36">
        <v>5</v>
      </c>
      <c r="AK36">
        <v>5</v>
      </c>
      <c r="AL36">
        <v>10</v>
      </c>
      <c r="AM36">
        <v>25</v>
      </c>
      <c r="AN36">
        <v>25</v>
      </c>
      <c r="AO36" s="225">
        <v>30</v>
      </c>
      <c r="AP36" s="341">
        <v>14</v>
      </c>
      <c r="AQ36" s="347" t="s">
        <v>46</v>
      </c>
      <c r="AR36" s="2"/>
      <c r="AS36">
        <v>15</v>
      </c>
      <c r="AT36">
        <v>10</v>
      </c>
      <c r="AU36" s="3"/>
      <c r="AV36" s="280">
        <v>100</v>
      </c>
      <c r="AW36" s="280">
        <v>55</v>
      </c>
      <c r="AX36" s="281">
        <v>100</v>
      </c>
      <c r="AY36" s="281">
        <v>50</v>
      </c>
      <c r="AZ36" s="3"/>
      <c r="BA36" s="225">
        <v>40</v>
      </c>
      <c r="BB36" s="225">
        <v>40</v>
      </c>
      <c r="BC36" s="225">
        <v>60</v>
      </c>
      <c r="BD36" s="225">
        <v>50</v>
      </c>
      <c r="BE36" s="3"/>
      <c r="BF36" s="225">
        <v>40</v>
      </c>
      <c r="BG36" s="225">
        <v>45</v>
      </c>
      <c r="BH36" s="225">
        <v>50</v>
      </c>
      <c r="BI36" s="225">
        <v>50</v>
      </c>
      <c r="BJ36" s="3"/>
      <c r="BK36" s="225">
        <v>60</v>
      </c>
      <c r="BL36" s="225">
        <v>45</v>
      </c>
      <c r="BM36" s="225">
        <v>55</v>
      </c>
      <c r="BN36" s="225">
        <v>50</v>
      </c>
      <c r="BO36" s="225">
        <v>50</v>
      </c>
      <c r="BP36" s="225">
        <v>40</v>
      </c>
      <c r="BQ36" s="225">
        <f t="shared" si="16"/>
        <v>50</v>
      </c>
      <c r="BR36" s="3"/>
      <c r="BS36" s="225">
        <v>55</v>
      </c>
      <c r="BT36" s="225">
        <v>60</v>
      </c>
      <c r="BU36" s="225">
        <v>40</v>
      </c>
      <c r="BV36" s="225">
        <v>30</v>
      </c>
      <c r="BW36" s="225">
        <v>45</v>
      </c>
      <c r="BX36" s="225">
        <v>55</v>
      </c>
      <c r="BY36" s="225">
        <v>48</v>
      </c>
      <c r="BZ36" s="3"/>
      <c r="CA36" s="433" t="s">
        <v>287</v>
      </c>
      <c r="CB36" s="433"/>
      <c r="CC36" s="433"/>
      <c r="CD36" s="433"/>
      <c r="CE36" s="433"/>
      <c r="CF36" s="433"/>
      <c r="CG36" s="3"/>
      <c r="CH36" t="s">
        <v>281</v>
      </c>
      <c r="CI36" t="s">
        <v>281</v>
      </c>
      <c r="CJ36" s="97"/>
      <c r="CK36" s="225">
        <v>48</v>
      </c>
      <c r="CL36" s="97"/>
      <c r="CM36">
        <v>45</v>
      </c>
      <c r="CN36">
        <v>30</v>
      </c>
      <c r="CO36">
        <v>40</v>
      </c>
      <c r="CP36">
        <v>45</v>
      </c>
      <c r="CQ36">
        <v>35</v>
      </c>
      <c r="CR36">
        <v>25</v>
      </c>
      <c r="CS36" s="97"/>
      <c r="CT36">
        <v>40</v>
      </c>
      <c r="CU36">
        <v>40</v>
      </c>
      <c r="CV36">
        <v>35</v>
      </c>
      <c r="CW36">
        <v>25</v>
      </c>
      <c r="CX36">
        <v>20</v>
      </c>
      <c r="CY36">
        <v>25</v>
      </c>
      <c r="CZ36" s="97"/>
    </row>
    <row r="37" spans="1:108" ht="16" x14ac:dyDescent="0.2">
      <c r="A37" s="44" t="s">
        <v>216</v>
      </c>
      <c r="B37">
        <v>406051</v>
      </c>
      <c r="E37" t="s">
        <v>217</v>
      </c>
      <c r="F37" s="21">
        <v>46196</v>
      </c>
      <c r="M37">
        <v>0</v>
      </c>
      <c r="O37" s="2"/>
      <c r="P37" s="101">
        <v>0</v>
      </c>
      <c r="Q37" s="101">
        <v>0</v>
      </c>
      <c r="R37" s="101">
        <v>0</v>
      </c>
      <c r="S37" s="101">
        <v>1</v>
      </c>
      <c r="T37" s="101">
        <v>0</v>
      </c>
      <c r="U37" s="101"/>
      <c r="V37" s="2"/>
      <c r="W37">
        <v>0</v>
      </c>
      <c r="X37">
        <v>0</v>
      </c>
      <c r="Y37">
        <v>5</v>
      </c>
      <c r="Z37">
        <v>15</v>
      </c>
      <c r="AA37">
        <v>10</v>
      </c>
      <c r="AB37">
        <v>0</v>
      </c>
      <c r="AC37">
        <v>-5</v>
      </c>
      <c r="AD37">
        <v>5</v>
      </c>
      <c r="AE37" s="348">
        <f>AVERAGE(X37:Z37,AB37)</f>
        <v>5</v>
      </c>
      <c r="AF37" s="4" t="s">
        <v>41</v>
      </c>
      <c r="AG37" s="2"/>
      <c r="AH37">
        <v>-5</v>
      </c>
      <c r="AI37">
        <v>-5</v>
      </c>
      <c r="AJ37">
        <v>5</v>
      </c>
      <c r="AK37">
        <v>10</v>
      </c>
      <c r="AL37">
        <v>15</v>
      </c>
      <c r="AM37">
        <v>10</v>
      </c>
      <c r="AN37">
        <v>5</v>
      </c>
      <c r="AO37">
        <v>20</v>
      </c>
      <c r="AP37" s="348">
        <f>AVERAGE(AI37:AK37,AM37)</f>
        <v>5</v>
      </c>
      <c r="AQ37" s="4" t="s">
        <v>41</v>
      </c>
      <c r="AR37" s="2"/>
      <c r="AS37">
        <v>10</v>
      </c>
      <c r="AT37">
        <v>10</v>
      </c>
      <c r="AU37" s="3"/>
      <c r="AV37" s="280">
        <v>100</v>
      </c>
      <c r="AW37" s="280">
        <v>50</v>
      </c>
      <c r="AX37" s="281">
        <v>96</v>
      </c>
      <c r="AY37" s="281">
        <v>50</v>
      </c>
      <c r="AZ37" s="3"/>
      <c r="BA37" s="11" t="s">
        <v>286</v>
      </c>
      <c r="BB37" s="11" t="s">
        <v>286</v>
      </c>
      <c r="BC37" s="11" t="s">
        <v>286</v>
      </c>
      <c r="BD37" s="11" t="s">
        <v>286</v>
      </c>
      <c r="BE37" s="382"/>
      <c r="BF37" s="11" t="s">
        <v>286</v>
      </c>
      <c r="BG37" s="11" t="s">
        <v>286</v>
      </c>
      <c r="BH37" s="11" t="s">
        <v>286</v>
      </c>
      <c r="BI37" s="11" t="s">
        <v>286</v>
      </c>
      <c r="BJ37" s="3"/>
      <c r="BK37">
        <v>85</v>
      </c>
      <c r="BL37">
        <v>85</v>
      </c>
      <c r="BM37">
        <v>90</v>
      </c>
      <c r="BN37">
        <v>95</v>
      </c>
      <c r="BO37" s="225">
        <v>75</v>
      </c>
      <c r="BP37" s="225">
        <v>70</v>
      </c>
      <c r="BQ37" s="70">
        <f t="shared" si="16"/>
        <v>83.333333333333329</v>
      </c>
      <c r="BR37" s="3"/>
      <c r="BS37">
        <v>90</v>
      </c>
      <c r="BT37">
        <v>85</v>
      </c>
      <c r="BU37">
        <v>80</v>
      </c>
      <c r="BV37">
        <v>90</v>
      </c>
      <c r="BW37">
        <v>80</v>
      </c>
      <c r="BX37">
        <v>85</v>
      </c>
      <c r="BY37" s="70">
        <f>AVERAGE(BS37:BX37)</f>
        <v>85</v>
      </c>
      <c r="BZ37" s="3"/>
      <c r="CA37" s="433" t="s">
        <v>280</v>
      </c>
      <c r="CB37" s="433"/>
      <c r="CC37" s="433"/>
      <c r="CD37" s="433"/>
      <c r="CE37" s="433"/>
      <c r="CF37" s="433"/>
      <c r="CG37" s="3"/>
      <c r="CH37" s="44" t="s">
        <v>281</v>
      </c>
      <c r="CI37" s="44" t="s">
        <v>281</v>
      </c>
      <c r="CJ37" s="97"/>
      <c r="CK37" s="70">
        <v>83.333333333333329</v>
      </c>
      <c r="CL37" s="97"/>
      <c r="CM37">
        <f t="shared" ref="CM37:CP38" si="26">BK37-W37</f>
        <v>85</v>
      </c>
      <c r="CN37">
        <f t="shared" si="26"/>
        <v>85</v>
      </c>
      <c r="CO37">
        <f t="shared" si="26"/>
        <v>85</v>
      </c>
      <c r="CP37">
        <f t="shared" si="26"/>
        <v>80</v>
      </c>
      <c r="CQ37">
        <f>BO37-AB37</f>
        <v>75</v>
      </c>
      <c r="CR37">
        <f>BP37-AD37</f>
        <v>65</v>
      </c>
      <c r="CS37" s="97"/>
      <c r="CT37">
        <f t="shared" ref="CT37:CW38" si="27">BS37-AH37</f>
        <v>95</v>
      </c>
      <c r="CU37">
        <f t="shared" si="27"/>
        <v>90</v>
      </c>
      <c r="CV37">
        <f t="shared" si="27"/>
        <v>75</v>
      </c>
      <c r="CW37">
        <f t="shared" si="27"/>
        <v>80</v>
      </c>
      <c r="CX37">
        <f>BW37-AM37</f>
        <v>70</v>
      </c>
      <c r="CY37">
        <f>BX37-AO37</f>
        <v>65</v>
      </c>
      <c r="CZ37" s="97"/>
    </row>
    <row r="38" spans="1:108" ht="16" x14ac:dyDescent="0.2">
      <c r="A38" s="44" t="s">
        <v>646</v>
      </c>
      <c r="B38">
        <v>487437</v>
      </c>
      <c r="E38" t="s">
        <v>645</v>
      </c>
      <c r="F38" s="21">
        <v>46238</v>
      </c>
      <c r="K38" t="s">
        <v>653</v>
      </c>
      <c r="O38" s="2"/>
      <c r="P38" s="101">
        <v>0</v>
      </c>
      <c r="Q38" s="101">
        <v>1</v>
      </c>
      <c r="R38" s="101">
        <v>1</v>
      </c>
      <c r="S38" s="101">
        <v>0</v>
      </c>
      <c r="T38" s="101">
        <v>0</v>
      </c>
      <c r="U38" s="101"/>
      <c r="V38" s="2"/>
      <c r="W38" s="418">
        <v>5</v>
      </c>
      <c r="X38" s="418">
        <v>0</v>
      </c>
      <c r="Y38" s="418">
        <v>10</v>
      </c>
      <c r="Z38" s="353">
        <v>45</v>
      </c>
      <c r="AA38" s="353">
        <v>60</v>
      </c>
      <c r="AB38" s="353">
        <v>65</v>
      </c>
      <c r="AC38" s="353">
        <v>60</v>
      </c>
      <c r="AD38" s="353">
        <v>75</v>
      </c>
      <c r="AE38" s="348">
        <f>AVERAGE(X38:Z38,AB38)</f>
        <v>30</v>
      </c>
      <c r="AF38" s="4" t="s">
        <v>46</v>
      </c>
      <c r="AG38" s="2"/>
      <c r="AH38">
        <v>0</v>
      </c>
      <c r="AI38">
        <v>0</v>
      </c>
      <c r="AJ38">
        <v>15</v>
      </c>
      <c r="AK38" s="225">
        <v>60</v>
      </c>
      <c r="AL38" s="225">
        <v>65</v>
      </c>
      <c r="AM38" s="225">
        <v>75</v>
      </c>
      <c r="AN38" s="225">
        <v>70</v>
      </c>
      <c r="AO38" s="225">
        <v>70</v>
      </c>
      <c r="AP38" s="348">
        <f>AVERAGE(AI38:AK38,AM38)</f>
        <v>37.5</v>
      </c>
      <c r="AQ38" s="347" t="s">
        <v>46</v>
      </c>
      <c r="AR38" s="2"/>
      <c r="AS38" s="424">
        <v>10</v>
      </c>
      <c r="AT38" s="423">
        <v>10</v>
      </c>
      <c r="AU38" s="3"/>
      <c r="AV38" s="419">
        <v>84</v>
      </c>
      <c r="AW38" s="419">
        <v>50</v>
      </c>
      <c r="AX38" s="281">
        <v>64</v>
      </c>
      <c r="AY38" s="281">
        <v>50</v>
      </c>
      <c r="AZ38" s="3"/>
      <c r="BA38" s="225">
        <v>70</v>
      </c>
      <c r="BB38" s="225">
        <v>80</v>
      </c>
      <c r="BC38" s="225">
        <v>80</v>
      </c>
      <c r="BD38" s="225">
        <v>60</v>
      </c>
      <c r="BE38" s="3"/>
      <c r="BF38" s="225">
        <v>70</v>
      </c>
      <c r="BG38" s="225">
        <v>80</v>
      </c>
      <c r="BH38" s="225">
        <v>80</v>
      </c>
      <c r="BI38" s="225">
        <v>60</v>
      </c>
      <c r="BJ38" s="3"/>
      <c r="BK38" s="103">
        <v>90</v>
      </c>
      <c r="BL38" s="103">
        <v>95</v>
      </c>
      <c r="BM38" s="103">
        <v>90</v>
      </c>
      <c r="BN38" s="103">
        <v>85</v>
      </c>
      <c r="BO38" s="103">
        <v>90</v>
      </c>
      <c r="BP38" s="103">
        <v>85</v>
      </c>
      <c r="BQ38" s="70">
        <f t="shared" si="16"/>
        <v>89.166666666666671</v>
      </c>
      <c r="BR38" s="3"/>
      <c r="BS38" s="103">
        <v>85</v>
      </c>
      <c r="BT38" s="103">
        <v>85</v>
      </c>
      <c r="BU38" s="103">
        <v>80</v>
      </c>
      <c r="BV38" s="103">
        <v>95</v>
      </c>
      <c r="BW38" s="103">
        <v>95</v>
      </c>
      <c r="BX38" s="103">
        <v>85</v>
      </c>
      <c r="BY38" s="70">
        <f>AVERAGE(BS38:BX38)</f>
        <v>87.5</v>
      </c>
      <c r="BZ38" s="3"/>
      <c r="CA38" s="225" t="s">
        <v>276</v>
      </c>
      <c r="CB38" s="225" t="s">
        <v>277</v>
      </c>
      <c r="CC38" s="225">
        <v>3000</v>
      </c>
      <c r="CD38" s="225">
        <v>63</v>
      </c>
      <c r="CG38" s="3"/>
      <c r="CH38" t="s">
        <v>281</v>
      </c>
      <c r="CI38" t="s">
        <v>281</v>
      </c>
      <c r="CJ38" s="97"/>
      <c r="CK38" s="420">
        <v>88</v>
      </c>
      <c r="CL38" s="97"/>
      <c r="CM38">
        <f t="shared" si="26"/>
        <v>85</v>
      </c>
      <c r="CN38">
        <f t="shared" si="26"/>
        <v>95</v>
      </c>
      <c r="CO38">
        <f t="shared" si="26"/>
        <v>80</v>
      </c>
      <c r="CP38">
        <f t="shared" si="26"/>
        <v>40</v>
      </c>
      <c r="CQ38">
        <f>BO38-AB38</f>
        <v>25</v>
      </c>
      <c r="CR38">
        <f>BP38-AD38</f>
        <v>10</v>
      </c>
      <c r="CS38" s="97"/>
      <c r="CT38">
        <f t="shared" si="27"/>
        <v>85</v>
      </c>
      <c r="CU38">
        <f t="shared" si="27"/>
        <v>85</v>
      </c>
      <c r="CV38">
        <f t="shared" si="27"/>
        <v>65</v>
      </c>
      <c r="CW38">
        <f t="shared" si="27"/>
        <v>35</v>
      </c>
      <c r="CX38">
        <f>BW38-AM38</f>
        <v>20</v>
      </c>
      <c r="CY38">
        <f>BX38-AO38</f>
        <v>15</v>
      </c>
      <c r="CZ38" s="97"/>
    </row>
    <row r="39" spans="1:108" ht="16" x14ac:dyDescent="0.2">
      <c r="A39" s="44" t="s">
        <v>669</v>
      </c>
      <c r="B39">
        <v>488849</v>
      </c>
      <c r="E39" t="s">
        <v>668</v>
      </c>
      <c r="F39" s="21">
        <v>46244</v>
      </c>
      <c r="L39" t="s">
        <v>670</v>
      </c>
      <c r="M39">
        <v>1</v>
      </c>
      <c r="O39" s="2"/>
      <c r="P39" s="101">
        <v>0</v>
      </c>
      <c r="Q39" s="101">
        <v>0</v>
      </c>
      <c r="R39" s="101">
        <v>0</v>
      </c>
      <c r="S39" s="101">
        <v>1</v>
      </c>
      <c r="T39" s="101">
        <v>0</v>
      </c>
      <c r="U39" s="101">
        <v>0</v>
      </c>
      <c r="V39" s="2"/>
      <c r="W39" s="418">
        <v>5</v>
      </c>
      <c r="X39" s="418">
        <v>0</v>
      </c>
      <c r="Y39" s="418">
        <v>5</v>
      </c>
      <c r="Z39" s="270">
        <v>10</v>
      </c>
      <c r="AA39" s="270">
        <v>10</v>
      </c>
      <c r="AB39" s="270">
        <v>5</v>
      </c>
      <c r="AC39" s="270">
        <v>10</v>
      </c>
      <c r="AD39" s="270">
        <v>5</v>
      </c>
      <c r="AE39" s="348">
        <f>AVERAGE(X39:Z39,AB39)</f>
        <v>5</v>
      </c>
      <c r="AF39" s="4" t="s">
        <v>41</v>
      </c>
      <c r="AG39" s="2"/>
      <c r="AH39">
        <v>0</v>
      </c>
      <c r="AI39">
        <v>0</v>
      </c>
      <c r="AJ39">
        <v>0</v>
      </c>
      <c r="AK39" s="103">
        <v>0</v>
      </c>
      <c r="AL39" s="103">
        <v>10</v>
      </c>
      <c r="AM39" s="103">
        <v>5</v>
      </c>
      <c r="AN39" s="103">
        <v>5</v>
      </c>
      <c r="AO39" s="103">
        <v>5</v>
      </c>
      <c r="AP39" s="348">
        <f>AVERAGE(AI39:AK39,AM39)</f>
        <v>1.25</v>
      </c>
      <c r="AQ39" s="4" t="s">
        <v>41</v>
      </c>
      <c r="AR39" s="2"/>
      <c r="AS39" s="424">
        <v>5</v>
      </c>
      <c r="AT39" s="424">
        <v>10</v>
      </c>
      <c r="AU39" s="3"/>
      <c r="AV39" s="419">
        <v>96</v>
      </c>
      <c r="AW39" s="419">
        <v>45</v>
      </c>
      <c r="AX39" s="281">
        <v>100</v>
      </c>
      <c r="AY39" s="281">
        <v>50</v>
      </c>
      <c r="AZ39" s="3"/>
      <c r="BA39" s="103" t="s">
        <v>286</v>
      </c>
      <c r="BB39" s="103">
        <v>-5</v>
      </c>
      <c r="BC39" s="103">
        <v>-5</v>
      </c>
      <c r="BD39" s="103">
        <v>-10</v>
      </c>
      <c r="BE39" s="3"/>
      <c r="BF39" s="103" t="s">
        <v>286</v>
      </c>
      <c r="BG39" s="103">
        <v>-10</v>
      </c>
      <c r="BH39" s="103">
        <v>-10</v>
      </c>
      <c r="BI39" s="103">
        <v>-5</v>
      </c>
      <c r="BJ39" s="3"/>
      <c r="BK39" s="103">
        <v>85</v>
      </c>
      <c r="BL39" s="103">
        <v>100</v>
      </c>
      <c r="BM39" s="103">
        <v>100</v>
      </c>
      <c r="BN39" s="103">
        <v>95</v>
      </c>
      <c r="BO39" s="103">
        <v>95</v>
      </c>
      <c r="BP39" s="103">
        <v>100</v>
      </c>
      <c r="BQ39" s="70">
        <f t="shared" si="16"/>
        <v>95.833333333333329</v>
      </c>
      <c r="BR39" s="3"/>
      <c r="BS39" s="103">
        <v>95</v>
      </c>
      <c r="BT39" s="103">
        <v>95</v>
      </c>
      <c r="BU39" s="103">
        <v>100</v>
      </c>
      <c r="BV39" s="103">
        <v>90</v>
      </c>
      <c r="BW39" s="103">
        <v>85</v>
      </c>
      <c r="BX39" s="225">
        <v>75</v>
      </c>
      <c r="BY39" s="70">
        <f>AVERAGE(BS39:BX39)</f>
        <v>90</v>
      </c>
      <c r="BZ39" s="3"/>
      <c r="CA39" s="433" t="s">
        <v>280</v>
      </c>
      <c r="CB39" s="433"/>
      <c r="CC39" s="433"/>
      <c r="CD39" s="433"/>
      <c r="CE39" s="433"/>
      <c r="CF39" s="433"/>
      <c r="CG39" s="3"/>
      <c r="CH39" t="s">
        <v>281</v>
      </c>
      <c r="CI39" t="s">
        <v>281</v>
      </c>
      <c r="CJ39" s="97"/>
      <c r="CK39" s="420">
        <v>83</v>
      </c>
      <c r="CL39" s="97"/>
      <c r="CM39">
        <f t="shared" ref="CM39" si="28">BK39-W39</f>
        <v>80</v>
      </c>
      <c r="CN39">
        <f t="shared" ref="CN39" si="29">BL39-X39</f>
        <v>100</v>
      </c>
      <c r="CO39">
        <f t="shared" ref="CO39" si="30">BM39-Y39</f>
        <v>95</v>
      </c>
      <c r="CP39">
        <f t="shared" ref="CP39" si="31">BN39-Z39</f>
        <v>85</v>
      </c>
      <c r="CQ39">
        <f>BO39-AB39</f>
        <v>90</v>
      </c>
      <c r="CR39">
        <f>BP39-AD39</f>
        <v>95</v>
      </c>
      <c r="CS39" s="97"/>
      <c r="CT39">
        <f t="shared" ref="CT39" si="32">BS39-AH39</f>
        <v>95</v>
      </c>
      <c r="CU39">
        <f t="shared" ref="CU39" si="33">BT39-AI39</f>
        <v>95</v>
      </c>
      <c r="CV39">
        <f t="shared" ref="CV39" si="34">BU39-AJ39</f>
        <v>100</v>
      </c>
      <c r="CW39">
        <f t="shared" ref="CW39" si="35">BV39-AK39</f>
        <v>90</v>
      </c>
      <c r="CX39">
        <f>BW39-AM39</f>
        <v>80</v>
      </c>
      <c r="CY39">
        <f>BX39-AO39</f>
        <v>70</v>
      </c>
      <c r="CZ39" s="97"/>
      <c r="DA39" t="s">
        <v>286</v>
      </c>
      <c r="DB39" t="s">
        <v>286</v>
      </c>
    </row>
    <row r="40" spans="1:108" ht="16" x14ac:dyDescent="0.2">
      <c r="A40" s="44" t="s">
        <v>649</v>
      </c>
      <c r="B40">
        <v>79273</v>
      </c>
      <c r="E40" t="s">
        <v>648</v>
      </c>
      <c r="F40" s="21">
        <v>46253</v>
      </c>
      <c r="M40">
        <v>0</v>
      </c>
      <c r="O40" s="2"/>
      <c r="P40" s="101">
        <v>0</v>
      </c>
      <c r="Q40" s="101">
        <v>0</v>
      </c>
      <c r="R40" s="101">
        <v>0</v>
      </c>
      <c r="S40" s="101">
        <v>1</v>
      </c>
      <c r="T40" s="101">
        <v>1</v>
      </c>
      <c r="U40" s="101"/>
      <c r="V40" s="2"/>
      <c r="W40" s="250"/>
      <c r="X40" s="250"/>
      <c r="Y40" s="250"/>
      <c r="Z40" s="250"/>
      <c r="AA40" s="250"/>
      <c r="AB40" s="250"/>
      <c r="AC40" s="250"/>
      <c r="AD40" s="250"/>
      <c r="AE40" s="348" t="e">
        <f t="shared" ref="AE40:AE43" si="36">AVERAGE(X40:Z40,AB40)</f>
        <v>#DIV/0!</v>
      </c>
      <c r="AF40" s="250"/>
      <c r="AG40" s="2"/>
      <c r="AH40" s="250"/>
      <c r="AI40" s="250"/>
      <c r="AJ40" s="250"/>
      <c r="AK40" s="250"/>
      <c r="AL40" s="250"/>
      <c r="AM40" s="250"/>
      <c r="AN40" s="250"/>
      <c r="AO40" s="250"/>
      <c r="AP40" s="348" t="e">
        <f t="shared" ref="AP40:AP43" si="37">AVERAGE(AI40:AK40,AM40)</f>
        <v>#DIV/0!</v>
      </c>
      <c r="AQ40" s="250"/>
      <c r="AR40" s="2"/>
      <c r="AS40" s="250"/>
      <c r="AT40" s="250"/>
      <c r="AU40" s="3"/>
      <c r="AV40" s="250"/>
      <c r="AW40" s="250"/>
      <c r="AX40" s="250"/>
      <c r="AY40" s="250"/>
      <c r="AZ40" s="3"/>
      <c r="BA40" s="250"/>
      <c r="BB40" s="250"/>
      <c r="BC40" s="250"/>
      <c r="BD40" s="250"/>
      <c r="BE40" s="3"/>
      <c r="BF40" s="250"/>
      <c r="BG40" s="250"/>
      <c r="BH40" s="250"/>
      <c r="BI40" s="250"/>
      <c r="BJ40" s="3"/>
      <c r="BK40" s="250"/>
      <c r="BL40" s="250"/>
      <c r="BM40" s="250"/>
      <c r="BN40" s="250"/>
      <c r="BO40" s="250"/>
      <c r="BP40" s="250"/>
      <c r="BQ40" s="70" t="e">
        <f t="shared" si="16"/>
        <v>#DIV/0!</v>
      </c>
      <c r="BR40" s="3"/>
      <c r="BS40" s="250"/>
      <c r="BT40" s="250"/>
      <c r="BU40" s="250"/>
      <c r="BV40" s="250"/>
      <c r="BW40" s="250"/>
      <c r="BX40" s="250"/>
      <c r="BY40" s="70" t="e">
        <f t="shared" ref="BY40:BY43" si="38">AVERAGE(BS40:BX40)</f>
        <v>#DIV/0!</v>
      </c>
      <c r="BZ40" s="3"/>
      <c r="CA40" s="250"/>
      <c r="CB40" s="250"/>
      <c r="CC40" s="250"/>
      <c r="CD40" s="250"/>
      <c r="CE40" s="250"/>
      <c r="CF40" s="250"/>
      <c r="CG40" s="3"/>
      <c r="CH40" s="250"/>
      <c r="CI40" s="250"/>
      <c r="CJ40" s="97"/>
      <c r="CK40" s="250"/>
      <c r="CL40" s="97"/>
      <c r="CM40">
        <f t="shared" ref="CM40:CM42" si="39">BK40-W40</f>
        <v>0</v>
      </c>
      <c r="CN40">
        <f t="shared" ref="CN40:CN42" si="40">BL40-X40</f>
        <v>0</v>
      </c>
      <c r="CO40">
        <f t="shared" ref="CO40:CO42" si="41">BM40-Y40</f>
        <v>0</v>
      </c>
      <c r="CP40">
        <f t="shared" ref="CP40:CP42" si="42">BN40-Z40</f>
        <v>0</v>
      </c>
      <c r="CQ40">
        <f t="shared" ref="CQ40:CQ42" si="43">BO40-AB40</f>
        <v>0</v>
      </c>
      <c r="CR40">
        <f t="shared" ref="CR40:CR42" si="44">BP40-AD40</f>
        <v>0</v>
      </c>
      <c r="CS40" s="97"/>
      <c r="CT40">
        <f t="shared" ref="CT40:CT42" si="45">BS40-AH40</f>
        <v>0</v>
      </c>
      <c r="CU40">
        <f t="shared" ref="CU40:CU42" si="46">BT40-AI40</f>
        <v>0</v>
      </c>
      <c r="CV40">
        <f t="shared" ref="CV40:CV42" si="47">BU40-AJ40</f>
        <v>0</v>
      </c>
      <c r="CW40">
        <f t="shared" ref="CW40:CW42" si="48">BV40-AK40</f>
        <v>0</v>
      </c>
      <c r="CX40">
        <f t="shared" ref="CX40:CX42" si="49">BW40-AM40</f>
        <v>0</v>
      </c>
      <c r="CY40">
        <f t="shared" ref="CY40:CY42" si="50">BX40-AO40</f>
        <v>0</v>
      </c>
      <c r="CZ40" s="97"/>
    </row>
    <row r="41" spans="1:108" ht="16" x14ac:dyDescent="0.2">
      <c r="A41" s="44" t="s">
        <v>651</v>
      </c>
      <c r="B41">
        <v>825407</v>
      </c>
      <c r="E41" t="s">
        <v>650</v>
      </c>
      <c r="F41" s="21">
        <v>46254</v>
      </c>
      <c r="K41" t="s">
        <v>652</v>
      </c>
      <c r="O41" s="2"/>
      <c r="P41" s="101">
        <v>0</v>
      </c>
      <c r="Q41" s="417"/>
      <c r="R41" s="101">
        <v>1</v>
      </c>
      <c r="S41" s="101">
        <v>1</v>
      </c>
      <c r="T41" s="101">
        <v>0</v>
      </c>
      <c r="U41" s="101"/>
      <c r="V41" s="2"/>
      <c r="W41" s="250"/>
      <c r="X41" s="250"/>
      <c r="Y41" s="250"/>
      <c r="Z41" s="250"/>
      <c r="AA41" s="250"/>
      <c r="AB41" s="250"/>
      <c r="AC41" s="250"/>
      <c r="AD41" s="250"/>
      <c r="AE41" s="348" t="e">
        <f t="shared" si="36"/>
        <v>#DIV/0!</v>
      </c>
      <c r="AF41" s="250"/>
      <c r="AG41" s="2"/>
      <c r="AH41" s="250"/>
      <c r="AI41" s="250"/>
      <c r="AJ41" s="250"/>
      <c r="AK41" s="250"/>
      <c r="AL41" s="250"/>
      <c r="AM41" s="250"/>
      <c r="AN41" s="250"/>
      <c r="AO41" s="250"/>
      <c r="AP41" s="348" t="e">
        <f t="shared" si="37"/>
        <v>#DIV/0!</v>
      </c>
      <c r="AQ41" s="250"/>
      <c r="AR41" s="2"/>
      <c r="AS41" s="250"/>
      <c r="AT41" s="250"/>
      <c r="AU41" s="3"/>
      <c r="AV41" s="250"/>
      <c r="AW41" s="250"/>
      <c r="AX41" s="250"/>
      <c r="AY41" s="250"/>
      <c r="AZ41" s="3"/>
      <c r="BA41" s="250"/>
      <c r="BB41" s="250"/>
      <c r="BC41" s="250"/>
      <c r="BD41" s="250"/>
      <c r="BE41" s="3"/>
      <c r="BF41" s="250"/>
      <c r="BG41" s="250"/>
      <c r="BH41" s="250"/>
      <c r="BI41" s="250"/>
      <c r="BJ41" s="3"/>
      <c r="BK41" s="250"/>
      <c r="BL41" s="250"/>
      <c r="BM41" s="250"/>
      <c r="BN41" s="250"/>
      <c r="BO41" s="250"/>
      <c r="BP41" s="250"/>
      <c r="BQ41" s="70" t="e">
        <f t="shared" si="16"/>
        <v>#DIV/0!</v>
      </c>
      <c r="BR41" s="3"/>
      <c r="BS41" s="250"/>
      <c r="BT41" s="250"/>
      <c r="BU41" s="250"/>
      <c r="BV41" s="250"/>
      <c r="BW41" s="250"/>
      <c r="BX41" s="250"/>
      <c r="BY41" s="70" t="e">
        <f t="shared" si="38"/>
        <v>#DIV/0!</v>
      </c>
      <c r="BZ41" s="3"/>
      <c r="CA41" s="250"/>
      <c r="CB41" s="250"/>
      <c r="CC41" s="250"/>
      <c r="CD41" s="250"/>
      <c r="CE41" s="250"/>
      <c r="CF41" s="250"/>
      <c r="CG41" s="3"/>
      <c r="CH41" s="250"/>
      <c r="CI41" s="250"/>
      <c r="CJ41" s="97"/>
      <c r="CK41" s="250"/>
      <c r="CL41" s="97"/>
      <c r="CM41">
        <f t="shared" si="39"/>
        <v>0</v>
      </c>
      <c r="CN41">
        <f t="shared" si="40"/>
        <v>0</v>
      </c>
      <c r="CO41">
        <f t="shared" si="41"/>
        <v>0</v>
      </c>
      <c r="CP41">
        <f t="shared" si="42"/>
        <v>0</v>
      </c>
      <c r="CQ41">
        <f t="shared" si="43"/>
        <v>0</v>
      </c>
      <c r="CR41">
        <f t="shared" si="44"/>
        <v>0</v>
      </c>
      <c r="CS41" s="97"/>
      <c r="CT41">
        <f t="shared" si="45"/>
        <v>0</v>
      </c>
      <c r="CU41">
        <f t="shared" si="46"/>
        <v>0</v>
      </c>
      <c r="CV41">
        <f t="shared" si="47"/>
        <v>0</v>
      </c>
      <c r="CW41">
        <f t="shared" si="48"/>
        <v>0</v>
      </c>
      <c r="CX41">
        <f t="shared" si="49"/>
        <v>0</v>
      </c>
      <c r="CY41">
        <f t="shared" si="50"/>
        <v>0</v>
      </c>
      <c r="CZ41" s="97"/>
    </row>
    <row r="42" spans="1:108" ht="16" x14ac:dyDescent="0.2">
      <c r="A42" s="44" t="s">
        <v>658</v>
      </c>
      <c r="B42">
        <v>143771</v>
      </c>
      <c r="E42" t="s">
        <v>657</v>
      </c>
      <c r="F42" s="21">
        <v>46259</v>
      </c>
      <c r="L42" t="s">
        <v>666</v>
      </c>
      <c r="O42" s="2"/>
      <c r="P42" s="101">
        <v>0</v>
      </c>
      <c r="Q42" s="101">
        <v>0</v>
      </c>
      <c r="R42" s="101">
        <v>1</v>
      </c>
      <c r="S42" s="101">
        <v>1</v>
      </c>
      <c r="T42" s="101">
        <v>0</v>
      </c>
      <c r="U42" s="101">
        <v>1</v>
      </c>
      <c r="V42" s="2"/>
      <c r="W42" s="101">
        <v>5</v>
      </c>
      <c r="X42" s="101">
        <v>5</v>
      </c>
      <c r="Y42" s="101">
        <v>0</v>
      </c>
      <c r="Z42" s="101">
        <v>0</v>
      </c>
      <c r="AA42" s="101">
        <v>5</v>
      </c>
      <c r="AB42" s="101">
        <v>5</v>
      </c>
      <c r="AC42" s="101">
        <v>10</v>
      </c>
      <c r="AD42" s="101">
        <v>10</v>
      </c>
      <c r="AE42" s="348">
        <f t="shared" si="36"/>
        <v>2.5</v>
      </c>
      <c r="AF42" s="4" t="s">
        <v>41</v>
      </c>
      <c r="AG42" s="2"/>
      <c r="AH42">
        <v>5</v>
      </c>
      <c r="AI42">
        <v>10</v>
      </c>
      <c r="AJ42">
        <v>5</v>
      </c>
      <c r="AK42">
        <v>10</v>
      </c>
      <c r="AL42">
        <v>20</v>
      </c>
      <c r="AM42">
        <v>10</v>
      </c>
      <c r="AN42">
        <v>5</v>
      </c>
      <c r="AO42">
        <v>5</v>
      </c>
      <c r="AP42" s="348">
        <f t="shared" si="37"/>
        <v>8.75</v>
      </c>
      <c r="AQ42" s="4" t="s">
        <v>41</v>
      </c>
      <c r="AR42" s="2"/>
      <c r="AS42">
        <v>0</v>
      </c>
      <c r="AT42">
        <v>10</v>
      </c>
      <c r="AU42" s="3"/>
      <c r="AV42" s="4">
        <v>88</v>
      </c>
      <c r="AW42" s="4">
        <v>40</v>
      </c>
      <c r="AX42" s="281">
        <v>96</v>
      </c>
      <c r="AY42" s="281">
        <v>50</v>
      </c>
      <c r="AZ42" s="3"/>
      <c r="BA42">
        <v>5</v>
      </c>
      <c r="BB42">
        <v>0</v>
      </c>
      <c r="BC42">
        <v>15</v>
      </c>
      <c r="BD42">
        <v>10</v>
      </c>
      <c r="BE42" s="3"/>
      <c r="BF42">
        <v>5</v>
      </c>
      <c r="BG42">
        <v>0</v>
      </c>
      <c r="BH42">
        <v>10</v>
      </c>
      <c r="BI42">
        <v>15</v>
      </c>
      <c r="BJ42" s="3"/>
      <c r="BK42">
        <v>100</v>
      </c>
      <c r="BL42">
        <v>95</v>
      </c>
      <c r="BM42" s="225">
        <v>70</v>
      </c>
      <c r="BN42">
        <v>80</v>
      </c>
      <c r="BO42">
        <v>80</v>
      </c>
      <c r="BP42" s="225">
        <v>75</v>
      </c>
      <c r="BQ42" s="70">
        <f t="shared" si="16"/>
        <v>83.333333333333329</v>
      </c>
      <c r="BR42" s="3"/>
      <c r="BS42">
        <v>100</v>
      </c>
      <c r="BT42">
        <v>85</v>
      </c>
      <c r="BU42">
        <v>100</v>
      </c>
      <c r="BV42">
        <v>90</v>
      </c>
      <c r="BW42">
        <v>85</v>
      </c>
      <c r="BX42" s="225">
        <v>65</v>
      </c>
      <c r="BY42" s="70">
        <f t="shared" si="38"/>
        <v>87.5</v>
      </c>
      <c r="BZ42" s="3"/>
      <c r="CA42" s="433" t="s">
        <v>287</v>
      </c>
      <c r="CB42" s="433"/>
      <c r="CC42" s="433"/>
      <c r="CD42" s="433"/>
      <c r="CE42" s="433"/>
      <c r="CF42" s="433"/>
      <c r="CG42" s="3"/>
      <c r="CH42" t="s">
        <v>281</v>
      </c>
      <c r="CI42" t="s">
        <v>281</v>
      </c>
      <c r="CJ42" s="97"/>
      <c r="CK42" s="420">
        <v>83</v>
      </c>
      <c r="CL42" s="97"/>
      <c r="CM42">
        <f t="shared" si="39"/>
        <v>95</v>
      </c>
      <c r="CN42">
        <f t="shared" si="40"/>
        <v>90</v>
      </c>
      <c r="CO42">
        <f t="shared" si="41"/>
        <v>70</v>
      </c>
      <c r="CP42">
        <f t="shared" si="42"/>
        <v>80</v>
      </c>
      <c r="CQ42">
        <f t="shared" si="43"/>
        <v>75</v>
      </c>
      <c r="CR42">
        <f t="shared" si="44"/>
        <v>65</v>
      </c>
      <c r="CS42" s="97"/>
      <c r="CT42">
        <f t="shared" si="45"/>
        <v>95</v>
      </c>
      <c r="CU42">
        <f t="shared" si="46"/>
        <v>75</v>
      </c>
      <c r="CV42">
        <f t="shared" si="47"/>
        <v>95</v>
      </c>
      <c r="CW42">
        <f t="shared" si="48"/>
        <v>80</v>
      </c>
      <c r="CX42">
        <f t="shared" si="49"/>
        <v>75</v>
      </c>
      <c r="CY42">
        <f t="shared" si="50"/>
        <v>60</v>
      </c>
      <c r="CZ42" s="97"/>
      <c r="DA42">
        <v>110</v>
      </c>
      <c r="DB42">
        <v>110</v>
      </c>
    </row>
    <row r="43" spans="1:108" ht="16" x14ac:dyDescent="0.2">
      <c r="A43" s="44" t="s">
        <v>672</v>
      </c>
      <c r="B43">
        <v>211106</v>
      </c>
      <c r="E43" t="s">
        <v>671</v>
      </c>
      <c r="F43" s="21">
        <v>46260</v>
      </c>
      <c r="O43" s="2"/>
      <c r="P43" s="101">
        <v>0</v>
      </c>
      <c r="Q43" s="101">
        <v>0</v>
      </c>
      <c r="R43" s="101">
        <v>1</v>
      </c>
      <c r="S43" s="101">
        <v>1</v>
      </c>
      <c r="T43" s="101">
        <v>0</v>
      </c>
      <c r="U43" s="101"/>
      <c r="V43" s="2"/>
      <c r="W43" s="101"/>
      <c r="X43" s="101"/>
      <c r="Y43" s="101"/>
      <c r="Z43" s="101"/>
      <c r="AA43" s="101"/>
      <c r="AB43" s="101"/>
      <c r="AC43" s="101"/>
      <c r="AD43" s="101"/>
      <c r="AE43" s="348" t="e">
        <f t="shared" si="36"/>
        <v>#DIV/0!</v>
      </c>
      <c r="AF43" s="4"/>
      <c r="AG43" s="2"/>
      <c r="AP43" s="348" t="e">
        <f t="shared" si="37"/>
        <v>#DIV/0!</v>
      </c>
      <c r="AQ43" s="4"/>
      <c r="AR43" s="2"/>
      <c r="AU43" s="3"/>
      <c r="AV43" s="4"/>
      <c r="AW43" s="4"/>
      <c r="AX43" s="281"/>
      <c r="AY43" s="281"/>
      <c r="AZ43" s="3"/>
      <c r="BE43" s="3"/>
      <c r="BJ43" s="3"/>
      <c r="BM43" s="225"/>
      <c r="BP43" s="225"/>
      <c r="BQ43" s="70" t="e">
        <f t="shared" si="16"/>
        <v>#DIV/0!</v>
      </c>
      <c r="BR43" s="3"/>
      <c r="BX43" s="225"/>
      <c r="BY43" s="70" t="e">
        <f t="shared" si="38"/>
        <v>#DIV/0!</v>
      </c>
      <c r="BZ43" s="3"/>
      <c r="CA43" s="458" t="s">
        <v>276</v>
      </c>
      <c r="CB43" s="458" t="s">
        <v>277</v>
      </c>
      <c r="CC43" s="459">
        <v>8000</v>
      </c>
      <c r="CD43" s="459">
        <v>13</v>
      </c>
      <c r="CE43" s="457"/>
      <c r="CF43" s="457"/>
      <c r="CG43" s="3"/>
      <c r="CH43" t="s">
        <v>673</v>
      </c>
      <c r="CI43" t="s">
        <v>281</v>
      </c>
      <c r="CJ43" s="97"/>
      <c r="CK43" s="420"/>
      <c r="CL43" s="97"/>
      <c r="CM43">
        <f t="shared" ref="CM43" si="51">BK43-W43</f>
        <v>0</v>
      </c>
      <c r="CN43">
        <f t="shared" ref="CN43" si="52">BL43-X43</f>
        <v>0</v>
      </c>
      <c r="CO43">
        <f t="shared" ref="CO43" si="53">BM43-Y43</f>
        <v>0</v>
      </c>
      <c r="CP43">
        <f t="shared" ref="CP43" si="54">BN43-Z43</f>
        <v>0</v>
      </c>
      <c r="CQ43">
        <f t="shared" ref="CQ43" si="55">BO43-AB43</f>
        <v>0</v>
      </c>
      <c r="CR43">
        <f t="shared" ref="CR43" si="56">BP43-AD43</f>
        <v>0</v>
      </c>
      <c r="CS43" s="97"/>
      <c r="CT43">
        <f t="shared" ref="CT43" si="57">BS43-AH43</f>
        <v>0</v>
      </c>
      <c r="CU43">
        <f t="shared" ref="CU43" si="58">BT43-AI43</f>
        <v>0</v>
      </c>
      <c r="CV43">
        <f t="shared" ref="CV43" si="59">BU43-AJ43</f>
        <v>0</v>
      </c>
      <c r="CW43">
        <f t="shared" ref="CW43" si="60">BV43-AK43</f>
        <v>0</v>
      </c>
      <c r="CX43">
        <f t="shared" ref="CX43" si="61">BW43-AM43</f>
        <v>0</v>
      </c>
      <c r="CY43">
        <f t="shared" ref="CY43" si="62">BX43-AO43</f>
        <v>0</v>
      </c>
      <c r="CZ43" s="97"/>
      <c r="DA43">
        <v>110</v>
      </c>
      <c r="DB43">
        <v>100</v>
      </c>
    </row>
    <row r="44" spans="1:108" ht="16" x14ac:dyDescent="0.2">
      <c r="A44" s="44"/>
      <c r="F44" s="21"/>
      <c r="O44" s="2"/>
      <c r="P44" s="1"/>
      <c r="Q44" s="1"/>
      <c r="R44" s="1"/>
      <c r="S44" s="1"/>
      <c r="T44" s="1"/>
      <c r="U44" s="1"/>
      <c r="V44" s="2"/>
      <c r="AE44" s="321"/>
      <c r="AG44" s="2"/>
      <c r="AR44" s="2"/>
      <c r="AU44" s="3"/>
      <c r="AZ44" s="3"/>
      <c r="BE44" s="3"/>
      <c r="BJ44" s="3"/>
      <c r="BR44" s="3"/>
      <c r="BZ44" s="3"/>
      <c r="CG44" s="3"/>
      <c r="CJ44" s="97"/>
      <c r="CL44" s="97"/>
      <c r="CS44" s="97"/>
      <c r="CZ44" s="97"/>
    </row>
    <row r="45" spans="1:108" ht="16" x14ac:dyDescent="0.2">
      <c r="J45" s="20" t="s">
        <v>308</v>
      </c>
      <c r="K45">
        <f>COUNTA(A15:A41)</f>
        <v>27</v>
      </c>
      <c r="O45" s="332" t="s">
        <v>309</v>
      </c>
      <c r="P45" s="328">
        <f>COUNTIF(P8:P44,1)</f>
        <v>0</v>
      </c>
      <c r="Q45" s="328">
        <f t="shared" ref="Q45:U45" si="63">COUNTIF(Q8:Q44,1)</f>
        <v>19</v>
      </c>
      <c r="R45" s="328">
        <f t="shared" si="63"/>
        <v>18</v>
      </c>
      <c r="S45" s="328">
        <f t="shared" si="63"/>
        <v>28</v>
      </c>
      <c r="T45" s="328">
        <f t="shared" si="63"/>
        <v>8</v>
      </c>
      <c r="U45" s="328">
        <f t="shared" si="63"/>
        <v>1</v>
      </c>
      <c r="V45" s="332"/>
      <c r="AE45" s="321"/>
      <c r="AG45" s="2"/>
      <c r="AR45" s="2"/>
      <c r="AU45" s="3"/>
      <c r="AZ45" s="3"/>
      <c r="BE45" s="3"/>
      <c r="BJ45" s="3"/>
      <c r="BR45" s="3"/>
      <c r="BZ45" s="3"/>
      <c r="CG45" s="3"/>
      <c r="CJ45" s="97"/>
      <c r="CL45" s="97"/>
      <c r="CS45" s="97"/>
      <c r="CZ45" s="97"/>
    </row>
    <row r="46" spans="1:108" s="413" customFormat="1" ht="16.5" customHeight="1" x14ac:dyDescent="0.2">
      <c r="A46" s="413" t="s">
        <v>310</v>
      </c>
      <c r="AK46" s="431"/>
      <c r="AL46" s="431"/>
      <c r="AM46" s="431"/>
      <c r="AN46" s="414"/>
      <c r="AO46" s="414"/>
      <c r="AP46" s="414"/>
      <c r="AQ46" s="414"/>
      <c r="AR46" s="414"/>
      <c r="BM46" s="415"/>
      <c r="BP46" s="415"/>
      <c r="BW46" s="415"/>
      <c r="CB46" s="415"/>
      <c r="CI46" s="415"/>
      <c r="CQ46" s="415"/>
      <c r="CY46" s="415"/>
      <c r="DD46" s="415"/>
    </row>
    <row r="47" spans="1:108" ht="16" x14ac:dyDescent="0.2">
      <c r="O47" s="2"/>
      <c r="P47" s="435" t="s">
        <v>109</v>
      </c>
      <c r="Q47" s="435"/>
      <c r="R47" s="435"/>
      <c r="S47" s="435"/>
      <c r="T47" s="435"/>
      <c r="U47" s="328"/>
      <c r="V47" s="2"/>
      <c r="W47" s="432" t="s">
        <v>237</v>
      </c>
      <c r="X47" s="432"/>
      <c r="Y47" s="432"/>
      <c r="Z47" s="432"/>
      <c r="AA47" s="432"/>
      <c r="AB47" s="432"/>
      <c r="AC47" s="432"/>
      <c r="AD47" s="432"/>
      <c r="AG47" s="2"/>
      <c r="AH47" s="434" t="s">
        <v>238</v>
      </c>
      <c r="AI47" s="434"/>
      <c r="AJ47" s="434"/>
      <c r="AK47" s="434"/>
      <c r="AL47" s="434"/>
      <c r="AM47" s="434"/>
      <c r="AN47" s="434"/>
      <c r="AO47" s="434"/>
      <c r="AR47" s="2"/>
      <c r="AS47" s="427" t="s">
        <v>239</v>
      </c>
      <c r="AT47" s="427"/>
      <c r="AU47" s="3"/>
      <c r="AV47" s="427" t="s">
        <v>311</v>
      </c>
      <c r="AW47" s="427"/>
      <c r="AX47" s="427"/>
      <c r="AY47" s="427"/>
      <c r="AZ47" s="3"/>
      <c r="BA47" s="432" t="s">
        <v>241</v>
      </c>
      <c r="BB47" s="432"/>
      <c r="BC47" s="432"/>
      <c r="BD47" s="432"/>
      <c r="BE47" s="3"/>
      <c r="BF47" s="434" t="s">
        <v>242</v>
      </c>
      <c r="BG47" s="434"/>
      <c r="BH47" s="434"/>
      <c r="BI47" s="434"/>
      <c r="BJ47" s="3"/>
      <c r="BK47" s="432" t="s">
        <v>243</v>
      </c>
      <c r="BL47" s="432"/>
      <c r="BM47" s="432"/>
      <c r="BN47" s="432"/>
      <c r="BO47" s="432"/>
      <c r="BP47" s="432"/>
      <c r="BR47" s="3"/>
      <c r="BS47" s="434" t="s">
        <v>244</v>
      </c>
      <c r="BT47" s="434"/>
      <c r="BU47" s="434"/>
      <c r="BV47" s="434"/>
      <c r="BW47" s="434"/>
      <c r="BX47" s="434"/>
      <c r="BZ47" s="3"/>
      <c r="CA47" s="427" t="s">
        <v>118</v>
      </c>
      <c r="CB47" s="427"/>
      <c r="CC47" s="427"/>
      <c r="CD47" s="427"/>
      <c r="CE47" s="324"/>
      <c r="CF47" s="324"/>
      <c r="CG47" s="3"/>
      <c r="CH47" s="427" t="s">
        <v>245</v>
      </c>
      <c r="CI47" s="427"/>
      <c r="CJ47" s="97"/>
      <c r="CL47" s="97"/>
      <c r="CM47" s="432" t="s">
        <v>246</v>
      </c>
      <c r="CN47" s="432"/>
      <c r="CO47" s="432"/>
      <c r="CP47" s="432"/>
      <c r="CQ47" s="432"/>
      <c r="CR47" s="432"/>
      <c r="CS47" s="97"/>
      <c r="CT47" s="434" t="s">
        <v>247</v>
      </c>
      <c r="CU47" s="434"/>
      <c r="CV47" s="434"/>
      <c r="CW47" s="434"/>
      <c r="CX47" s="434"/>
      <c r="CY47" s="434"/>
      <c r="CZ47" s="97"/>
    </row>
    <row r="48" spans="1:108" ht="16" x14ac:dyDescent="0.2">
      <c r="A48" s="20" t="s">
        <v>82</v>
      </c>
      <c r="B48" s="1" t="s">
        <v>248</v>
      </c>
      <c r="C48" s="1" t="s">
        <v>249</v>
      </c>
      <c r="D48" s="1" t="s">
        <v>250</v>
      </c>
      <c r="E48" s="1" t="s">
        <v>55</v>
      </c>
      <c r="F48" s="1" t="s">
        <v>251</v>
      </c>
      <c r="G48" s="1" t="s">
        <v>252</v>
      </c>
      <c r="H48" s="1" t="s">
        <v>253</v>
      </c>
      <c r="I48" s="1" t="s">
        <v>254</v>
      </c>
      <c r="J48" s="1" t="s">
        <v>255</v>
      </c>
      <c r="K48" s="1" t="s">
        <v>256</v>
      </c>
      <c r="L48" s="1" t="s">
        <v>257</v>
      </c>
      <c r="M48" s="328" t="s">
        <v>258</v>
      </c>
      <c r="N48" s="328" t="s">
        <v>644</v>
      </c>
      <c r="O48" s="2"/>
      <c r="P48" s="1" t="s">
        <v>9</v>
      </c>
      <c r="Q48" s="1" t="s">
        <v>13</v>
      </c>
      <c r="R48" s="1" t="s">
        <v>10</v>
      </c>
      <c r="S48" s="1" t="s">
        <v>11</v>
      </c>
      <c r="T48" s="1" t="s">
        <v>12</v>
      </c>
      <c r="U48" s="1"/>
      <c r="V48" s="2"/>
      <c r="W48" s="1">
        <v>250</v>
      </c>
      <c r="X48" s="1">
        <v>500</v>
      </c>
      <c r="Y48" s="1">
        <v>1000</v>
      </c>
      <c r="Z48" s="1">
        <v>2000</v>
      </c>
      <c r="AA48" s="1">
        <v>3000</v>
      </c>
      <c r="AB48" s="1">
        <v>4000</v>
      </c>
      <c r="AC48" s="1">
        <v>6000</v>
      </c>
      <c r="AD48" s="1">
        <v>8000</v>
      </c>
      <c r="AE48" s="54" t="s">
        <v>259</v>
      </c>
      <c r="AF48" s="53" t="s">
        <v>260</v>
      </c>
      <c r="AG48" s="2"/>
      <c r="AH48" s="1">
        <v>250</v>
      </c>
      <c r="AI48" s="1">
        <v>500</v>
      </c>
      <c r="AJ48" s="1">
        <v>1000</v>
      </c>
      <c r="AK48" s="1">
        <v>2000</v>
      </c>
      <c r="AL48" s="1">
        <v>3000</v>
      </c>
      <c r="AM48" s="1">
        <v>4000</v>
      </c>
      <c r="AN48" s="1">
        <v>6000</v>
      </c>
      <c r="AO48" s="1">
        <v>8000</v>
      </c>
      <c r="AP48" s="59" t="s">
        <v>259</v>
      </c>
      <c r="AQ48" s="58" t="s">
        <v>260</v>
      </c>
      <c r="AR48" s="2"/>
      <c r="AS48" s="6" t="s">
        <v>261</v>
      </c>
      <c r="AT48" s="7" t="s">
        <v>262</v>
      </c>
      <c r="AU48" s="3"/>
      <c r="AV48" s="6" t="s">
        <v>263</v>
      </c>
      <c r="AW48" s="6" t="s">
        <v>264</v>
      </c>
      <c r="AX48" s="7" t="s">
        <v>265</v>
      </c>
      <c r="AY48" s="7" t="s">
        <v>264</v>
      </c>
      <c r="AZ48" s="3"/>
      <c r="BA48" s="1">
        <v>10000</v>
      </c>
      <c r="BB48" s="1">
        <v>12500</v>
      </c>
      <c r="BC48" s="1">
        <v>14000</v>
      </c>
      <c r="BD48" s="1">
        <v>16000</v>
      </c>
      <c r="BE48" s="3"/>
      <c r="BF48" s="1">
        <v>10000</v>
      </c>
      <c r="BG48" s="1">
        <v>12500</v>
      </c>
      <c r="BH48" s="1">
        <v>14000</v>
      </c>
      <c r="BI48" s="1">
        <v>16000</v>
      </c>
      <c r="BJ48" s="3"/>
      <c r="BK48" s="1">
        <v>250</v>
      </c>
      <c r="BL48" s="1">
        <v>500</v>
      </c>
      <c r="BM48" s="1">
        <v>1000</v>
      </c>
      <c r="BN48" s="1">
        <v>2000</v>
      </c>
      <c r="BO48" s="1">
        <v>4000</v>
      </c>
      <c r="BP48" s="1">
        <v>8000</v>
      </c>
      <c r="BQ48" s="8" t="s">
        <v>266</v>
      </c>
      <c r="BR48" s="3"/>
      <c r="BS48" s="1">
        <v>250</v>
      </c>
      <c r="BT48" s="1">
        <v>500</v>
      </c>
      <c r="BU48" s="1">
        <v>1000</v>
      </c>
      <c r="BV48" s="1">
        <v>2000</v>
      </c>
      <c r="BW48" s="1">
        <v>4000</v>
      </c>
      <c r="BX48" s="1">
        <v>8000</v>
      </c>
      <c r="BY48" s="5" t="s">
        <v>266</v>
      </c>
      <c r="BZ48" s="3"/>
      <c r="CA48" s="1" t="s">
        <v>267</v>
      </c>
      <c r="CB48" s="1" t="s">
        <v>268</v>
      </c>
      <c r="CC48" s="1" t="s">
        <v>269</v>
      </c>
      <c r="CD48" s="1" t="s">
        <v>270</v>
      </c>
      <c r="CE48" s="1"/>
      <c r="CF48" s="1"/>
      <c r="CG48" s="3"/>
      <c r="CH48" s="329" t="s">
        <v>273</v>
      </c>
      <c r="CI48" s="330" t="s">
        <v>274</v>
      </c>
      <c r="CJ48" s="97"/>
      <c r="CK48" s="20" t="s">
        <v>312</v>
      </c>
      <c r="CL48" s="97"/>
      <c r="CM48" s="1">
        <v>250</v>
      </c>
      <c r="CN48" s="1">
        <v>500</v>
      </c>
      <c r="CO48" s="1">
        <v>1000</v>
      </c>
      <c r="CP48" s="1">
        <v>2000</v>
      </c>
      <c r="CQ48" s="1">
        <v>4000</v>
      </c>
      <c r="CR48" s="1">
        <v>8000</v>
      </c>
      <c r="CS48" s="97"/>
      <c r="CT48" s="1">
        <v>250</v>
      </c>
      <c r="CU48" s="1">
        <v>500</v>
      </c>
      <c r="CV48" s="1">
        <v>1000</v>
      </c>
      <c r="CW48" s="1">
        <v>2000</v>
      </c>
      <c r="CX48" s="1">
        <v>4000</v>
      </c>
      <c r="CY48" s="1">
        <v>8000</v>
      </c>
      <c r="CZ48" s="97"/>
    </row>
    <row r="49" spans="1:104" ht="16" x14ac:dyDescent="0.2">
      <c r="A49" s="44" t="s">
        <v>130</v>
      </c>
      <c r="B49">
        <v>617834</v>
      </c>
      <c r="E49" t="s">
        <v>130</v>
      </c>
      <c r="F49" s="21">
        <f>DATE(2025,2,27)</f>
        <v>45715</v>
      </c>
      <c r="G49" s="21"/>
      <c r="H49" s="21"/>
      <c r="I49" s="21"/>
      <c r="J49" s="21"/>
      <c r="O49" s="2"/>
      <c r="P49" s="339">
        <v>1</v>
      </c>
      <c r="Q49" s="299">
        <v>0</v>
      </c>
      <c r="R49" s="299">
        <v>0</v>
      </c>
      <c r="S49" s="299">
        <v>0</v>
      </c>
      <c r="T49" s="299">
        <v>0</v>
      </c>
      <c r="U49" s="299"/>
      <c r="V49" s="2"/>
      <c r="W49">
        <v>0</v>
      </c>
      <c r="X49">
        <v>5</v>
      </c>
      <c r="Y49">
        <v>0</v>
      </c>
      <c r="Z49">
        <v>5</v>
      </c>
      <c r="AA49">
        <v>5</v>
      </c>
      <c r="AB49">
        <v>5</v>
      </c>
      <c r="AC49">
        <v>0</v>
      </c>
      <c r="AD49">
        <v>0</v>
      </c>
      <c r="AE49" s="55">
        <f t="shared" ref="AE49:AE69" si="64">AVERAGE(X49:Z49,AB49)</f>
        <v>3.75</v>
      </c>
      <c r="AF49" s="4" t="s">
        <v>41</v>
      </c>
      <c r="AG49" s="2"/>
      <c r="AH49">
        <v>5</v>
      </c>
      <c r="AI49">
        <v>5</v>
      </c>
      <c r="AJ49">
        <v>5</v>
      </c>
      <c r="AK49">
        <v>5</v>
      </c>
      <c r="AL49">
        <v>10</v>
      </c>
      <c r="AM49">
        <v>5</v>
      </c>
      <c r="AN49">
        <v>0</v>
      </c>
      <c r="AO49">
        <v>5</v>
      </c>
      <c r="AP49" s="55">
        <f t="shared" ref="AP49:AP69" si="65">AVERAGE(AI49:AK49,AM49)</f>
        <v>5</v>
      </c>
      <c r="AQ49" s="4" t="s">
        <v>41</v>
      </c>
      <c r="AR49" s="2"/>
      <c r="AS49">
        <v>5</v>
      </c>
      <c r="AT49">
        <v>5</v>
      </c>
      <c r="AU49" s="3"/>
      <c r="AV49" s="63"/>
      <c r="AW49" s="63"/>
      <c r="AX49" s="64"/>
      <c r="AY49" s="64"/>
      <c r="AZ49" s="3"/>
      <c r="BE49" s="3"/>
      <c r="BJ49" s="3"/>
      <c r="BQ49" s="67" t="e">
        <f t="shared" ref="BQ49:BQ69" si="66">AVERAGE(BK49:BP49)</f>
        <v>#DIV/0!</v>
      </c>
      <c r="BR49" s="3"/>
      <c r="BY49" s="67" t="e">
        <f t="shared" ref="BY49:BY69" si="67">AVERAGE(BS49:BX49)</f>
        <v>#DIV/0!</v>
      </c>
      <c r="BZ49" s="3"/>
      <c r="CA49" s="433" t="s">
        <v>280</v>
      </c>
      <c r="CB49" s="433"/>
      <c r="CC49" s="433"/>
      <c r="CD49" s="433"/>
      <c r="CE49" s="326"/>
      <c r="CF49" s="326"/>
      <c r="CG49" s="3"/>
      <c r="CH49" t="s">
        <v>278</v>
      </c>
      <c r="CI49" t="s">
        <v>278</v>
      </c>
      <c r="CJ49" s="97"/>
      <c r="CK49" s="67"/>
      <c r="CL49" s="97"/>
      <c r="CS49" s="97"/>
      <c r="CZ49" s="97"/>
    </row>
    <row r="50" spans="1:104" ht="16" x14ac:dyDescent="0.2">
      <c r="A50" s="44" t="s">
        <v>148</v>
      </c>
      <c r="B50">
        <v>991031</v>
      </c>
      <c r="E50" t="s">
        <v>131</v>
      </c>
      <c r="F50" s="21">
        <f>DATE(2025,2,28)</f>
        <v>45716</v>
      </c>
      <c r="G50" s="21"/>
      <c r="H50" s="21"/>
      <c r="I50" s="21"/>
      <c r="J50" s="21"/>
      <c r="O50" s="2"/>
      <c r="P50" s="339">
        <v>1</v>
      </c>
      <c r="Q50" s="299">
        <v>0</v>
      </c>
      <c r="R50" s="299">
        <v>0</v>
      </c>
      <c r="S50" s="299">
        <v>0</v>
      </c>
      <c r="T50" s="299">
        <v>0</v>
      </c>
      <c r="U50" s="299"/>
      <c r="V50" s="2"/>
      <c r="W50">
        <v>15</v>
      </c>
      <c r="X50">
        <v>5</v>
      </c>
      <c r="Y50">
        <v>5</v>
      </c>
      <c r="Z50">
        <v>5</v>
      </c>
      <c r="AA50">
        <v>10</v>
      </c>
      <c r="AB50">
        <v>25</v>
      </c>
      <c r="AC50">
        <v>25</v>
      </c>
      <c r="AD50">
        <v>25</v>
      </c>
      <c r="AE50" s="55">
        <f t="shared" si="64"/>
        <v>10</v>
      </c>
      <c r="AF50" s="4" t="s">
        <v>41</v>
      </c>
      <c r="AG50" s="2"/>
      <c r="AH50">
        <v>15</v>
      </c>
      <c r="AI50">
        <v>10</v>
      </c>
      <c r="AJ50">
        <v>5</v>
      </c>
      <c r="AK50">
        <v>10</v>
      </c>
      <c r="AL50">
        <v>15</v>
      </c>
      <c r="AM50">
        <v>10</v>
      </c>
      <c r="AN50">
        <v>20</v>
      </c>
      <c r="AO50">
        <v>20</v>
      </c>
      <c r="AP50" s="55">
        <f t="shared" si="65"/>
        <v>8.75</v>
      </c>
      <c r="AQ50" s="4" t="s">
        <v>41</v>
      </c>
      <c r="AR50" s="2"/>
      <c r="AS50">
        <v>5</v>
      </c>
      <c r="AT50">
        <v>10</v>
      </c>
      <c r="AU50" s="3"/>
      <c r="AV50" s="63"/>
      <c r="AW50" s="63"/>
      <c r="AX50" s="64"/>
      <c r="AY50" s="64"/>
      <c r="AZ50" s="3"/>
      <c r="BA50" s="49">
        <v>70</v>
      </c>
      <c r="BB50" s="49">
        <v>75</v>
      </c>
      <c r="BC50" s="49">
        <v>80</v>
      </c>
      <c r="BD50" s="49">
        <v>60</v>
      </c>
      <c r="BE50" s="3"/>
      <c r="BF50" s="30">
        <v>65</v>
      </c>
      <c r="BG50" s="30">
        <v>75</v>
      </c>
      <c r="BH50" s="30">
        <v>80</v>
      </c>
      <c r="BI50" s="30">
        <v>60</v>
      </c>
      <c r="BJ50" s="3"/>
      <c r="BK50">
        <v>100</v>
      </c>
      <c r="BL50">
        <v>110</v>
      </c>
      <c r="BM50">
        <v>105</v>
      </c>
      <c r="BN50">
        <v>100</v>
      </c>
      <c r="BO50">
        <v>100</v>
      </c>
      <c r="BP50">
        <v>100</v>
      </c>
      <c r="BQ50" s="71">
        <f t="shared" si="66"/>
        <v>102.5</v>
      </c>
      <c r="BR50" s="3"/>
      <c r="BS50">
        <v>105</v>
      </c>
      <c r="BT50">
        <v>105</v>
      </c>
      <c r="BU50">
        <v>100</v>
      </c>
      <c r="BV50">
        <v>100</v>
      </c>
      <c r="BW50">
        <v>105</v>
      </c>
      <c r="BX50">
        <v>105</v>
      </c>
      <c r="BY50" s="71">
        <f t="shared" si="67"/>
        <v>103.33333333333333</v>
      </c>
      <c r="BZ50" s="3"/>
      <c r="CA50" s="433" t="s">
        <v>280</v>
      </c>
      <c r="CB50" s="433"/>
      <c r="CC50" s="433"/>
      <c r="CD50" s="433"/>
      <c r="CE50" s="326"/>
      <c r="CF50" s="326"/>
      <c r="CG50" s="3"/>
      <c r="CH50" t="s">
        <v>281</v>
      </c>
      <c r="CI50" t="s">
        <v>281</v>
      </c>
      <c r="CJ50" s="97"/>
      <c r="CK50" s="71">
        <v>102.5</v>
      </c>
      <c r="CL50" s="97"/>
      <c r="CM50">
        <f t="shared" ref="CM50:CM69" si="68">BK50-W50</f>
        <v>85</v>
      </c>
      <c r="CN50">
        <f t="shared" ref="CN50:CN69" si="69">BL50-X50</f>
        <v>105</v>
      </c>
      <c r="CO50">
        <f t="shared" ref="CO50:CO69" si="70">BM50-Y50</f>
        <v>100</v>
      </c>
      <c r="CP50">
        <f t="shared" ref="CP50:CP69" si="71">BN50-Z50</f>
        <v>95</v>
      </c>
      <c r="CQ50">
        <f t="shared" ref="CQ50:CQ69" si="72">BO50-AB50</f>
        <v>75</v>
      </c>
      <c r="CR50">
        <f t="shared" ref="CR50:CR69" si="73">BP50-AD50</f>
        <v>75</v>
      </c>
      <c r="CS50" s="97"/>
      <c r="CT50">
        <f t="shared" ref="CT50:CT69" si="74">BS50-AH50</f>
        <v>90</v>
      </c>
      <c r="CU50">
        <f t="shared" ref="CU50:CU69" si="75">BT50-AI50</f>
        <v>95</v>
      </c>
      <c r="CV50">
        <f t="shared" ref="CV50:CV69" si="76">BU50-AJ50</f>
        <v>95</v>
      </c>
      <c r="CW50">
        <f t="shared" ref="CW50:CW69" si="77">BV50-AK50</f>
        <v>90</v>
      </c>
      <c r="CX50">
        <f t="shared" ref="CX50:CX69" si="78">BW50-AM50</f>
        <v>95</v>
      </c>
      <c r="CY50">
        <f t="shared" ref="CY50:CY69" si="79">BX50-AO50</f>
        <v>85</v>
      </c>
      <c r="CZ50" s="97"/>
    </row>
    <row r="51" spans="1:104" ht="16" x14ac:dyDescent="0.2">
      <c r="A51" s="44" t="s">
        <v>149</v>
      </c>
      <c r="B51">
        <v>129059</v>
      </c>
      <c r="E51" t="s">
        <v>132</v>
      </c>
      <c r="F51" s="21">
        <v>45720</v>
      </c>
      <c r="G51" s="21"/>
      <c r="H51" s="21"/>
      <c r="I51" s="21"/>
      <c r="J51" s="21"/>
      <c r="O51" s="2"/>
      <c r="P51" s="339">
        <v>1</v>
      </c>
      <c r="Q51" s="299">
        <v>0</v>
      </c>
      <c r="R51" s="299">
        <v>0</v>
      </c>
      <c r="S51" s="299">
        <v>0</v>
      </c>
      <c r="T51" s="299">
        <v>0</v>
      </c>
      <c r="U51" s="299"/>
      <c r="V51" s="2"/>
      <c r="W51">
        <v>5</v>
      </c>
      <c r="X51">
        <v>5</v>
      </c>
      <c r="Y51">
        <v>0</v>
      </c>
      <c r="Z51">
        <v>5</v>
      </c>
      <c r="AA51">
        <v>10</v>
      </c>
      <c r="AB51">
        <v>0</v>
      </c>
      <c r="AC51">
        <v>5</v>
      </c>
      <c r="AD51">
        <v>10</v>
      </c>
      <c r="AE51" s="55">
        <f t="shared" si="64"/>
        <v>2.5</v>
      </c>
      <c r="AF51" s="4" t="s">
        <v>41</v>
      </c>
      <c r="AG51" s="2"/>
      <c r="AH51">
        <v>5</v>
      </c>
      <c r="AI51">
        <v>5</v>
      </c>
      <c r="AJ51">
        <v>5</v>
      </c>
      <c r="AK51">
        <v>10</v>
      </c>
      <c r="AL51">
        <v>15</v>
      </c>
      <c r="AM51">
        <v>10</v>
      </c>
      <c r="AN51">
        <v>15</v>
      </c>
      <c r="AO51">
        <v>0</v>
      </c>
      <c r="AP51" s="55">
        <f t="shared" si="65"/>
        <v>7.5</v>
      </c>
      <c r="AQ51" s="4" t="s">
        <v>41</v>
      </c>
      <c r="AR51" s="2"/>
      <c r="AS51">
        <v>0</v>
      </c>
      <c r="AT51">
        <v>0</v>
      </c>
      <c r="AU51" s="3"/>
      <c r="AV51" s="63"/>
      <c r="AW51" s="63"/>
      <c r="AX51" s="64"/>
      <c r="AY51" s="64"/>
      <c r="AZ51" s="3"/>
      <c r="BA51" s="11">
        <v>5</v>
      </c>
      <c r="BB51" s="11">
        <v>5</v>
      </c>
      <c r="BC51" s="11">
        <v>25</v>
      </c>
      <c r="BD51" s="11">
        <v>25</v>
      </c>
      <c r="BE51" s="3"/>
      <c r="BF51">
        <v>-10</v>
      </c>
      <c r="BG51">
        <v>5</v>
      </c>
      <c r="BH51">
        <v>25</v>
      </c>
      <c r="BI51">
        <v>20</v>
      </c>
      <c r="BJ51" s="3"/>
      <c r="BK51">
        <v>95</v>
      </c>
      <c r="BL51">
        <v>95</v>
      </c>
      <c r="BM51">
        <v>100</v>
      </c>
      <c r="BN51">
        <v>85</v>
      </c>
      <c r="BO51">
        <v>85</v>
      </c>
      <c r="BP51" s="30">
        <v>70</v>
      </c>
      <c r="BQ51" s="71">
        <f t="shared" si="66"/>
        <v>88.333333333333329</v>
      </c>
      <c r="BR51" s="3"/>
      <c r="BS51">
        <v>85</v>
      </c>
      <c r="BT51">
        <v>80</v>
      </c>
      <c r="BU51">
        <v>90</v>
      </c>
      <c r="BV51">
        <v>85</v>
      </c>
      <c r="BW51">
        <v>80</v>
      </c>
      <c r="BX51" s="30">
        <v>70</v>
      </c>
      <c r="BY51" s="71">
        <f t="shared" si="67"/>
        <v>81.666666666666671</v>
      </c>
      <c r="BZ51" s="3"/>
      <c r="CA51" s="433" t="s">
        <v>280</v>
      </c>
      <c r="CB51" s="433"/>
      <c r="CC51" s="433"/>
      <c r="CD51" s="433"/>
      <c r="CE51" s="326"/>
      <c r="CF51" s="326"/>
      <c r="CG51" s="3"/>
      <c r="CH51" t="s">
        <v>281</v>
      </c>
      <c r="CI51" t="s">
        <v>281</v>
      </c>
      <c r="CJ51" s="97"/>
      <c r="CK51" s="71">
        <v>81.666666666666671</v>
      </c>
      <c r="CL51" s="97"/>
      <c r="CM51">
        <f t="shared" si="68"/>
        <v>90</v>
      </c>
      <c r="CN51">
        <f t="shared" si="69"/>
        <v>90</v>
      </c>
      <c r="CO51">
        <f t="shared" si="70"/>
        <v>100</v>
      </c>
      <c r="CP51">
        <f t="shared" si="71"/>
        <v>80</v>
      </c>
      <c r="CQ51">
        <f t="shared" si="72"/>
        <v>85</v>
      </c>
      <c r="CR51">
        <f t="shared" si="73"/>
        <v>60</v>
      </c>
      <c r="CS51" s="97"/>
      <c r="CT51">
        <f t="shared" si="74"/>
        <v>80</v>
      </c>
      <c r="CU51">
        <f t="shared" si="75"/>
        <v>75</v>
      </c>
      <c r="CV51">
        <f t="shared" si="76"/>
        <v>85</v>
      </c>
      <c r="CW51">
        <f t="shared" si="77"/>
        <v>75</v>
      </c>
      <c r="CX51">
        <f t="shared" si="78"/>
        <v>70</v>
      </c>
      <c r="CY51">
        <f t="shared" si="79"/>
        <v>70</v>
      </c>
      <c r="CZ51" s="97"/>
    </row>
    <row r="52" spans="1:104" ht="16" x14ac:dyDescent="0.2">
      <c r="A52" s="44" t="s">
        <v>150</v>
      </c>
      <c r="B52">
        <v>99810</v>
      </c>
      <c r="E52" t="s">
        <v>133</v>
      </c>
      <c r="F52" s="21">
        <v>45743</v>
      </c>
      <c r="G52" s="21"/>
      <c r="H52" s="21"/>
      <c r="I52" s="21"/>
      <c r="J52" s="21"/>
      <c r="O52" s="2"/>
      <c r="P52" s="339">
        <v>1</v>
      </c>
      <c r="Q52" s="299">
        <v>0</v>
      </c>
      <c r="R52" s="299">
        <v>0</v>
      </c>
      <c r="S52" s="299">
        <v>0</v>
      </c>
      <c r="T52" s="299">
        <v>0</v>
      </c>
      <c r="U52" s="299"/>
      <c r="V52" s="2"/>
      <c r="W52">
        <v>10</v>
      </c>
      <c r="X52">
        <v>10</v>
      </c>
      <c r="Y52">
        <v>10</v>
      </c>
      <c r="Z52">
        <v>0</v>
      </c>
      <c r="AA52">
        <v>5</v>
      </c>
      <c r="AB52">
        <v>15</v>
      </c>
      <c r="AC52">
        <v>5</v>
      </c>
      <c r="AD52">
        <v>10</v>
      </c>
      <c r="AE52" s="55">
        <f t="shared" si="64"/>
        <v>8.75</v>
      </c>
      <c r="AF52" s="4" t="s">
        <v>41</v>
      </c>
      <c r="AG52" s="2"/>
      <c r="AH52">
        <v>5</v>
      </c>
      <c r="AI52">
        <v>5</v>
      </c>
      <c r="AJ52">
        <v>5</v>
      </c>
      <c r="AK52">
        <v>5</v>
      </c>
      <c r="AL52">
        <v>10</v>
      </c>
      <c r="AM52">
        <v>15</v>
      </c>
      <c r="AN52">
        <v>10</v>
      </c>
      <c r="AO52">
        <v>5</v>
      </c>
      <c r="AP52" s="55">
        <f t="shared" si="65"/>
        <v>7.5</v>
      </c>
      <c r="AQ52" s="4" t="s">
        <v>41</v>
      </c>
      <c r="AR52" s="2"/>
      <c r="AS52">
        <v>5</v>
      </c>
      <c r="AT52">
        <v>0</v>
      </c>
      <c r="AU52" s="3"/>
      <c r="AV52" s="63">
        <v>100</v>
      </c>
      <c r="AW52" s="63">
        <v>45</v>
      </c>
      <c r="AX52" s="64">
        <v>96</v>
      </c>
      <c r="AY52" s="64">
        <v>40</v>
      </c>
      <c r="AZ52" s="3"/>
      <c r="BA52" s="11">
        <v>10</v>
      </c>
      <c r="BB52" s="65">
        <v>10</v>
      </c>
      <c r="BC52" s="11">
        <v>-5</v>
      </c>
      <c r="BD52" s="11">
        <v>-10</v>
      </c>
      <c r="BE52" s="3"/>
      <c r="BF52" s="11">
        <v>5</v>
      </c>
      <c r="BG52" s="11">
        <v>5</v>
      </c>
      <c r="BH52" s="11">
        <v>10</v>
      </c>
      <c r="BI52" s="11">
        <v>15</v>
      </c>
      <c r="BJ52" s="3"/>
      <c r="BK52" s="49">
        <v>75</v>
      </c>
      <c r="BL52" s="49">
        <v>65</v>
      </c>
      <c r="BM52" s="11">
        <v>110</v>
      </c>
      <c r="BN52" s="11">
        <v>80</v>
      </c>
      <c r="BO52" s="11">
        <v>85</v>
      </c>
      <c r="BP52" s="49">
        <v>60</v>
      </c>
      <c r="BQ52" s="72">
        <f t="shared" si="66"/>
        <v>79.166666666666671</v>
      </c>
      <c r="BR52" s="3"/>
      <c r="BS52">
        <v>80</v>
      </c>
      <c r="BT52">
        <v>80</v>
      </c>
      <c r="BU52" s="30">
        <v>70</v>
      </c>
      <c r="BV52">
        <v>80</v>
      </c>
      <c r="BW52">
        <v>80</v>
      </c>
      <c r="BX52" s="30">
        <v>60</v>
      </c>
      <c r="BY52" s="72">
        <f t="shared" si="67"/>
        <v>75</v>
      </c>
      <c r="BZ52" s="3"/>
      <c r="CA52" s="433" t="s">
        <v>280</v>
      </c>
      <c r="CB52" s="433"/>
      <c r="CC52" s="433"/>
      <c r="CD52" s="433"/>
      <c r="CE52" s="326"/>
      <c r="CF52" s="326"/>
      <c r="CG52" s="3"/>
      <c r="CJ52" s="97"/>
      <c r="CK52" s="72">
        <v>75</v>
      </c>
      <c r="CL52" s="97"/>
      <c r="CM52">
        <f t="shared" si="68"/>
        <v>65</v>
      </c>
      <c r="CN52">
        <f t="shared" si="69"/>
        <v>55</v>
      </c>
      <c r="CO52">
        <f t="shared" si="70"/>
        <v>100</v>
      </c>
      <c r="CP52">
        <f t="shared" si="71"/>
        <v>80</v>
      </c>
      <c r="CQ52">
        <f t="shared" si="72"/>
        <v>70</v>
      </c>
      <c r="CR52">
        <f t="shared" si="73"/>
        <v>50</v>
      </c>
      <c r="CS52" s="97"/>
      <c r="CT52">
        <f t="shared" si="74"/>
        <v>75</v>
      </c>
      <c r="CU52">
        <f t="shared" si="75"/>
        <v>75</v>
      </c>
      <c r="CV52">
        <f t="shared" si="76"/>
        <v>65</v>
      </c>
      <c r="CW52">
        <f t="shared" si="77"/>
        <v>75</v>
      </c>
      <c r="CX52">
        <f t="shared" si="78"/>
        <v>65</v>
      </c>
      <c r="CY52">
        <f t="shared" si="79"/>
        <v>55</v>
      </c>
      <c r="CZ52" s="97"/>
    </row>
    <row r="53" spans="1:104" ht="16" x14ac:dyDescent="0.2">
      <c r="A53" s="44" t="s">
        <v>151</v>
      </c>
      <c r="B53">
        <v>184632</v>
      </c>
      <c r="E53" t="s">
        <v>134</v>
      </c>
      <c r="F53" s="21">
        <v>45758</v>
      </c>
      <c r="G53" s="21"/>
      <c r="H53" s="21"/>
      <c r="I53" s="21"/>
      <c r="J53" s="21"/>
      <c r="O53" s="2"/>
      <c r="P53" s="339">
        <v>1</v>
      </c>
      <c r="Q53" s="299">
        <v>0</v>
      </c>
      <c r="R53" s="299">
        <v>0</v>
      </c>
      <c r="S53" s="299">
        <v>0</v>
      </c>
      <c r="T53" s="299">
        <v>0</v>
      </c>
      <c r="U53" s="299"/>
      <c r="V53" s="2"/>
      <c r="W53">
        <v>10</v>
      </c>
      <c r="X53">
        <v>10</v>
      </c>
      <c r="Y53">
        <v>5</v>
      </c>
      <c r="Z53">
        <v>10</v>
      </c>
      <c r="AA53">
        <v>5</v>
      </c>
      <c r="AB53">
        <v>10</v>
      </c>
      <c r="AC53">
        <v>0</v>
      </c>
      <c r="AD53">
        <v>10</v>
      </c>
      <c r="AE53" s="55">
        <f t="shared" si="64"/>
        <v>8.75</v>
      </c>
      <c r="AF53" s="4" t="s">
        <v>41</v>
      </c>
      <c r="AG53" s="2"/>
      <c r="AH53">
        <v>10</v>
      </c>
      <c r="AI53">
        <v>5</v>
      </c>
      <c r="AJ53">
        <v>5</v>
      </c>
      <c r="AK53">
        <v>5</v>
      </c>
      <c r="AL53">
        <v>10</v>
      </c>
      <c r="AM53">
        <v>0</v>
      </c>
      <c r="AN53">
        <v>10</v>
      </c>
      <c r="AO53">
        <v>10</v>
      </c>
      <c r="AP53" s="55">
        <f t="shared" si="65"/>
        <v>3.75</v>
      </c>
      <c r="AQ53" s="4" t="s">
        <v>41</v>
      </c>
      <c r="AR53" s="2"/>
      <c r="AS53">
        <v>10</v>
      </c>
      <c r="AT53">
        <v>5</v>
      </c>
      <c r="AU53" s="3"/>
      <c r="AV53" s="63">
        <v>96</v>
      </c>
      <c r="AW53" s="63">
        <v>50</v>
      </c>
      <c r="AX53" s="64">
        <v>96</v>
      </c>
      <c r="AY53" s="64">
        <v>45</v>
      </c>
      <c r="AZ53" s="3"/>
      <c r="BA53" s="11">
        <v>0</v>
      </c>
      <c r="BB53" s="11">
        <v>-5</v>
      </c>
      <c r="BC53" s="11">
        <v>5</v>
      </c>
      <c r="BD53" s="11">
        <v>30</v>
      </c>
      <c r="BE53" s="3"/>
      <c r="BF53" s="11">
        <v>-10</v>
      </c>
      <c r="BG53" s="11">
        <v>5</v>
      </c>
      <c r="BH53" s="11">
        <v>15</v>
      </c>
      <c r="BI53" s="49">
        <v>35</v>
      </c>
      <c r="BJ53" s="3"/>
      <c r="BK53" s="11">
        <v>100</v>
      </c>
      <c r="BL53" s="11">
        <v>90</v>
      </c>
      <c r="BM53" s="11">
        <v>105</v>
      </c>
      <c r="BN53" s="11">
        <v>110</v>
      </c>
      <c r="BO53" s="11">
        <v>110</v>
      </c>
      <c r="BP53" s="11">
        <v>105</v>
      </c>
      <c r="BQ53" s="71">
        <f t="shared" si="66"/>
        <v>103.33333333333333</v>
      </c>
      <c r="BR53" s="3"/>
      <c r="BS53" s="11">
        <v>90</v>
      </c>
      <c r="BT53" s="11">
        <v>85</v>
      </c>
      <c r="BU53" s="11">
        <v>95</v>
      </c>
      <c r="BV53" s="11">
        <v>95</v>
      </c>
      <c r="BW53" s="11">
        <v>90</v>
      </c>
      <c r="BX53" s="11">
        <v>95</v>
      </c>
      <c r="BY53" s="71">
        <f t="shared" si="67"/>
        <v>91.666666666666671</v>
      </c>
      <c r="BZ53" s="3"/>
      <c r="CA53" s="433" t="s">
        <v>280</v>
      </c>
      <c r="CB53" s="433"/>
      <c r="CC53" s="433"/>
      <c r="CD53" s="433"/>
      <c r="CE53" s="326"/>
      <c r="CF53" s="326"/>
      <c r="CG53" s="3"/>
      <c r="CH53" t="s">
        <v>281</v>
      </c>
      <c r="CI53" t="s">
        <v>281</v>
      </c>
      <c r="CJ53" s="97"/>
      <c r="CK53" s="71">
        <v>91.666666666666671</v>
      </c>
      <c r="CL53" s="97"/>
      <c r="CM53">
        <f t="shared" si="68"/>
        <v>90</v>
      </c>
      <c r="CN53">
        <f t="shared" si="69"/>
        <v>80</v>
      </c>
      <c r="CO53">
        <f t="shared" si="70"/>
        <v>100</v>
      </c>
      <c r="CP53">
        <f t="shared" si="71"/>
        <v>100</v>
      </c>
      <c r="CQ53">
        <f t="shared" si="72"/>
        <v>100</v>
      </c>
      <c r="CR53">
        <f t="shared" si="73"/>
        <v>95</v>
      </c>
      <c r="CS53" s="97"/>
      <c r="CT53">
        <f t="shared" si="74"/>
        <v>80</v>
      </c>
      <c r="CU53">
        <f t="shared" si="75"/>
        <v>80</v>
      </c>
      <c r="CV53">
        <f t="shared" si="76"/>
        <v>90</v>
      </c>
      <c r="CW53">
        <f t="shared" si="77"/>
        <v>90</v>
      </c>
      <c r="CX53">
        <f t="shared" si="78"/>
        <v>90</v>
      </c>
      <c r="CY53">
        <f t="shared" si="79"/>
        <v>85</v>
      </c>
      <c r="CZ53" s="97"/>
    </row>
    <row r="54" spans="1:104" ht="16" x14ac:dyDescent="0.2">
      <c r="A54" s="44" t="s">
        <v>152</v>
      </c>
      <c r="B54">
        <v>488218</v>
      </c>
      <c r="E54" t="s">
        <v>135</v>
      </c>
      <c r="F54" s="21">
        <v>45762</v>
      </c>
      <c r="G54" s="21"/>
      <c r="H54" s="21"/>
      <c r="I54" s="21"/>
      <c r="J54" s="21"/>
      <c r="O54" s="2"/>
      <c r="P54" s="339">
        <v>1</v>
      </c>
      <c r="Q54" s="299">
        <v>0</v>
      </c>
      <c r="R54" s="299">
        <v>0</v>
      </c>
      <c r="S54" s="299">
        <v>0</v>
      </c>
      <c r="T54" s="299">
        <v>0</v>
      </c>
      <c r="U54" s="299"/>
      <c r="V54" s="2"/>
      <c r="W54">
        <v>0</v>
      </c>
      <c r="X54">
        <v>0</v>
      </c>
      <c r="Y54">
        <v>0</v>
      </c>
      <c r="Z54">
        <v>0</v>
      </c>
      <c r="AA54">
        <v>-5</v>
      </c>
      <c r="AB54">
        <v>-10</v>
      </c>
      <c r="AC54">
        <v>-5</v>
      </c>
      <c r="AD54">
        <v>-10</v>
      </c>
      <c r="AE54" s="55">
        <f t="shared" si="64"/>
        <v>-2.5</v>
      </c>
      <c r="AF54" s="4" t="s">
        <v>41</v>
      </c>
      <c r="AG54" s="2"/>
      <c r="AH54">
        <v>5</v>
      </c>
      <c r="AI54">
        <v>0</v>
      </c>
      <c r="AJ54">
        <v>-5</v>
      </c>
      <c r="AK54">
        <v>0</v>
      </c>
      <c r="AL54">
        <v>0</v>
      </c>
      <c r="AM54">
        <v>-5</v>
      </c>
      <c r="AN54">
        <v>-5</v>
      </c>
      <c r="AO54">
        <v>-10</v>
      </c>
      <c r="AP54" s="55">
        <f t="shared" si="65"/>
        <v>-2.5</v>
      </c>
      <c r="AQ54" s="4" t="s">
        <v>41</v>
      </c>
      <c r="AR54" s="2"/>
      <c r="AS54">
        <v>0</v>
      </c>
      <c r="AT54">
        <v>5</v>
      </c>
      <c r="AU54" s="3"/>
      <c r="AV54" s="63">
        <v>100</v>
      </c>
      <c r="AW54" s="63">
        <v>40</v>
      </c>
      <c r="AX54" s="64">
        <v>100</v>
      </c>
      <c r="AY54" s="64">
        <v>45</v>
      </c>
      <c r="AZ54" s="3"/>
      <c r="BA54" s="11">
        <v>-10</v>
      </c>
      <c r="BB54" s="11">
        <v>-10</v>
      </c>
      <c r="BC54" s="11">
        <v>-15</v>
      </c>
      <c r="BD54" s="11">
        <v>-20</v>
      </c>
      <c r="BE54" s="3"/>
      <c r="BF54" s="11">
        <v>-15</v>
      </c>
      <c r="BG54" s="11">
        <v>-15</v>
      </c>
      <c r="BH54" s="11">
        <v>-15</v>
      </c>
      <c r="BI54" s="11">
        <v>5</v>
      </c>
      <c r="BJ54" s="3"/>
      <c r="BK54" s="11">
        <v>110</v>
      </c>
      <c r="BL54" s="11">
        <v>115</v>
      </c>
      <c r="BM54" s="11">
        <v>120</v>
      </c>
      <c r="BN54" s="11">
        <v>115</v>
      </c>
      <c r="BO54" s="11">
        <v>115</v>
      </c>
      <c r="BP54" s="11">
        <v>105</v>
      </c>
      <c r="BQ54" s="71">
        <f t="shared" si="66"/>
        <v>113.33333333333333</v>
      </c>
      <c r="BR54" s="3"/>
      <c r="BS54" s="11">
        <v>110</v>
      </c>
      <c r="BT54" s="11">
        <v>115</v>
      </c>
      <c r="BU54" s="11">
        <v>120</v>
      </c>
      <c r="BV54" s="11">
        <v>115</v>
      </c>
      <c r="BW54" s="11">
        <v>115</v>
      </c>
      <c r="BX54" s="11">
        <v>105</v>
      </c>
      <c r="BY54" s="71">
        <f t="shared" si="67"/>
        <v>113.33333333333333</v>
      </c>
      <c r="BZ54" s="3"/>
      <c r="CA54" s="433" t="s">
        <v>280</v>
      </c>
      <c r="CB54" s="433"/>
      <c r="CC54" s="433"/>
      <c r="CD54" s="433"/>
      <c r="CE54" s="326"/>
      <c r="CF54" s="326"/>
      <c r="CG54" s="3"/>
      <c r="CH54" t="s">
        <v>281</v>
      </c>
      <c r="CI54" t="s">
        <v>281</v>
      </c>
      <c r="CJ54" s="97"/>
      <c r="CK54" s="71">
        <v>113.33333333333333</v>
      </c>
      <c r="CL54" s="97"/>
      <c r="CM54">
        <f t="shared" si="68"/>
        <v>110</v>
      </c>
      <c r="CN54">
        <f t="shared" si="69"/>
        <v>115</v>
      </c>
      <c r="CO54">
        <f t="shared" si="70"/>
        <v>120</v>
      </c>
      <c r="CP54">
        <f t="shared" si="71"/>
        <v>115</v>
      </c>
      <c r="CQ54">
        <f t="shared" si="72"/>
        <v>125</v>
      </c>
      <c r="CR54">
        <f t="shared" si="73"/>
        <v>115</v>
      </c>
      <c r="CS54" s="97"/>
      <c r="CT54">
        <f t="shared" si="74"/>
        <v>105</v>
      </c>
      <c r="CU54">
        <f t="shared" si="75"/>
        <v>115</v>
      </c>
      <c r="CV54">
        <f t="shared" si="76"/>
        <v>125</v>
      </c>
      <c r="CW54">
        <f t="shared" si="77"/>
        <v>115</v>
      </c>
      <c r="CX54">
        <f t="shared" si="78"/>
        <v>120</v>
      </c>
      <c r="CY54">
        <f t="shared" si="79"/>
        <v>115</v>
      </c>
      <c r="CZ54" s="97"/>
    </row>
    <row r="55" spans="1:104" ht="16" x14ac:dyDescent="0.2">
      <c r="A55" s="44" t="s">
        <v>136</v>
      </c>
      <c r="B55">
        <v>928855</v>
      </c>
      <c r="E55" t="s">
        <v>136</v>
      </c>
      <c r="F55" s="21">
        <v>45828</v>
      </c>
      <c r="G55" s="21"/>
      <c r="H55" s="21"/>
      <c r="I55" s="21"/>
      <c r="J55" s="21"/>
      <c r="O55" s="2"/>
      <c r="P55" s="339">
        <v>1</v>
      </c>
      <c r="Q55" s="299">
        <v>0</v>
      </c>
      <c r="R55" s="299">
        <v>0</v>
      </c>
      <c r="S55" s="299">
        <v>0</v>
      </c>
      <c r="T55" s="299">
        <v>0</v>
      </c>
      <c r="U55" s="299"/>
      <c r="V55" s="2"/>
      <c r="W55">
        <v>0</v>
      </c>
      <c r="X55">
        <v>15</v>
      </c>
      <c r="Y55">
        <v>10</v>
      </c>
      <c r="Z55">
        <v>20</v>
      </c>
      <c r="AA55">
        <v>15</v>
      </c>
      <c r="AB55">
        <v>5</v>
      </c>
      <c r="AC55">
        <v>10</v>
      </c>
      <c r="AD55">
        <v>20</v>
      </c>
      <c r="AE55" s="55">
        <f t="shared" si="64"/>
        <v>12.5</v>
      </c>
      <c r="AF55" s="4" t="s">
        <v>41</v>
      </c>
      <c r="AG55" s="2"/>
      <c r="AH55">
        <v>5</v>
      </c>
      <c r="AI55">
        <v>10</v>
      </c>
      <c r="AJ55">
        <v>15</v>
      </c>
      <c r="AK55">
        <v>10</v>
      </c>
      <c r="AL55">
        <v>5</v>
      </c>
      <c r="AM55">
        <v>15</v>
      </c>
      <c r="AN55">
        <v>15</v>
      </c>
      <c r="AO55">
        <v>15</v>
      </c>
      <c r="AP55" s="55">
        <f t="shared" si="65"/>
        <v>12.5</v>
      </c>
      <c r="AQ55" s="4" t="s">
        <v>41</v>
      </c>
      <c r="AR55" s="2"/>
      <c r="AS55">
        <v>15</v>
      </c>
      <c r="AT55">
        <v>15</v>
      </c>
      <c r="AU55" s="3"/>
      <c r="AV55" s="63">
        <v>100</v>
      </c>
      <c r="AW55" s="63">
        <v>55</v>
      </c>
      <c r="AX55" s="64">
        <v>96</v>
      </c>
      <c r="AY55" s="64">
        <v>55</v>
      </c>
      <c r="AZ55" s="3"/>
      <c r="BA55" s="49">
        <v>40</v>
      </c>
      <c r="BB55" s="49">
        <v>65</v>
      </c>
      <c r="BC55" s="49">
        <v>80</v>
      </c>
      <c r="BD55" s="49">
        <v>60</v>
      </c>
      <c r="BE55" s="3"/>
      <c r="BF55" s="49">
        <v>35</v>
      </c>
      <c r="BG55" s="49">
        <v>50</v>
      </c>
      <c r="BH55" s="49">
        <v>60</v>
      </c>
      <c r="BI55" s="66">
        <v>60</v>
      </c>
      <c r="BJ55" s="3"/>
      <c r="BK55" s="11">
        <v>110</v>
      </c>
      <c r="BL55" s="11">
        <v>115</v>
      </c>
      <c r="BM55" s="11">
        <v>115</v>
      </c>
      <c r="BN55" s="11">
        <v>115</v>
      </c>
      <c r="BO55" s="11">
        <v>115</v>
      </c>
      <c r="BP55" s="11">
        <v>105</v>
      </c>
      <c r="BQ55" s="71">
        <f t="shared" si="66"/>
        <v>112.5</v>
      </c>
      <c r="BR55" s="3"/>
      <c r="BS55" s="11">
        <v>110</v>
      </c>
      <c r="BT55" s="11">
        <v>115</v>
      </c>
      <c r="BU55" s="11">
        <v>115</v>
      </c>
      <c r="BV55" s="11">
        <v>115</v>
      </c>
      <c r="BW55" s="11">
        <v>115</v>
      </c>
      <c r="BX55" s="11">
        <v>105</v>
      </c>
      <c r="BY55" s="71">
        <f t="shared" si="67"/>
        <v>112.5</v>
      </c>
      <c r="BZ55" s="3"/>
      <c r="CA55" s="433" t="s">
        <v>280</v>
      </c>
      <c r="CB55" s="433"/>
      <c r="CC55" s="433"/>
      <c r="CD55" s="433"/>
      <c r="CE55" s="326"/>
      <c r="CF55" s="326"/>
      <c r="CG55" s="3"/>
      <c r="CH55" t="s">
        <v>281</v>
      </c>
      <c r="CI55" t="s">
        <v>281</v>
      </c>
      <c r="CJ55" s="97"/>
      <c r="CK55" s="71">
        <v>112.5</v>
      </c>
      <c r="CL55" s="97"/>
      <c r="CM55">
        <f t="shared" si="68"/>
        <v>110</v>
      </c>
      <c r="CN55">
        <f t="shared" si="69"/>
        <v>100</v>
      </c>
      <c r="CO55">
        <f t="shared" si="70"/>
        <v>105</v>
      </c>
      <c r="CP55">
        <f t="shared" si="71"/>
        <v>95</v>
      </c>
      <c r="CQ55">
        <f t="shared" si="72"/>
        <v>110</v>
      </c>
      <c r="CR55">
        <f t="shared" si="73"/>
        <v>85</v>
      </c>
      <c r="CS55" s="97"/>
      <c r="CT55">
        <f t="shared" si="74"/>
        <v>105</v>
      </c>
      <c r="CU55">
        <f t="shared" si="75"/>
        <v>105</v>
      </c>
      <c r="CV55">
        <f t="shared" si="76"/>
        <v>100</v>
      </c>
      <c r="CW55">
        <f t="shared" si="77"/>
        <v>105</v>
      </c>
      <c r="CX55">
        <f t="shared" si="78"/>
        <v>100</v>
      </c>
      <c r="CY55">
        <f t="shared" si="79"/>
        <v>90</v>
      </c>
      <c r="CZ55" s="97"/>
    </row>
    <row r="56" spans="1:104" ht="16" x14ac:dyDescent="0.2">
      <c r="A56" s="44" t="s">
        <v>153</v>
      </c>
      <c r="B56">
        <v>375578</v>
      </c>
      <c r="E56" t="s">
        <v>137</v>
      </c>
      <c r="F56" s="21">
        <v>45852</v>
      </c>
      <c r="G56" s="21"/>
      <c r="H56" s="21"/>
      <c r="I56" s="21"/>
      <c r="J56" s="21"/>
      <c r="O56" s="2"/>
      <c r="P56" s="339">
        <v>1</v>
      </c>
      <c r="Q56" s="299">
        <v>0</v>
      </c>
      <c r="R56" s="299">
        <v>0</v>
      </c>
      <c r="S56" s="299">
        <v>0</v>
      </c>
      <c r="T56" s="299">
        <v>0</v>
      </c>
      <c r="U56" s="299"/>
      <c r="V56" s="2"/>
      <c r="W56">
        <v>5</v>
      </c>
      <c r="X56">
        <v>5</v>
      </c>
      <c r="Y56">
        <v>0</v>
      </c>
      <c r="Z56">
        <v>20</v>
      </c>
      <c r="AA56">
        <v>15</v>
      </c>
      <c r="AB56">
        <v>5</v>
      </c>
      <c r="AC56">
        <v>-5</v>
      </c>
      <c r="AD56">
        <v>10</v>
      </c>
      <c r="AE56" s="55">
        <f t="shared" si="64"/>
        <v>7.5</v>
      </c>
      <c r="AF56" s="4" t="s">
        <v>41</v>
      </c>
      <c r="AG56" s="2"/>
      <c r="AH56">
        <v>10</v>
      </c>
      <c r="AI56">
        <v>0</v>
      </c>
      <c r="AJ56">
        <v>10</v>
      </c>
      <c r="AK56">
        <v>5</v>
      </c>
      <c r="AL56">
        <v>5</v>
      </c>
      <c r="AM56">
        <v>5</v>
      </c>
      <c r="AN56">
        <v>0</v>
      </c>
      <c r="AO56">
        <v>0</v>
      </c>
      <c r="AP56" s="55">
        <f t="shared" si="65"/>
        <v>5</v>
      </c>
      <c r="AQ56" s="4" t="s">
        <v>41</v>
      </c>
      <c r="AR56" s="2"/>
      <c r="AS56">
        <v>5</v>
      </c>
      <c r="AT56">
        <v>10</v>
      </c>
      <c r="AU56" s="3"/>
      <c r="AV56" s="63">
        <v>96</v>
      </c>
      <c r="AW56" s="63">
        <v>45</v>
      </c>
      <c r="AX56" s="64">
        <v>100</v>
      </c>
      <c r="AY56" s="64">
        <v>50</v>
      </c>
      <c r="AZ56" s="3"/>
      <c r="BA56" s="11">
        <v>5</v>
      </c>
      <c r="BB56" s="11">
        <v>-5</v>
      </c>
      <c r="BC56" s="11">
        <v>0</v>
      </c>
      <c r="BD56" s="11">
        <v>-5</v>
      </c>
      <c r="BE56" s="3"/>
      <c r="BF56" s="11">
        <v>-5</v>
      </c>
      <c r="BG56" s="11">
        <v>-15</v>
      </c>
      <c r="BH56" s="11">
        <v>-5</v>
      </c>
      <c r="BI56" s="11">
        <v>-15</v>
      </c>
      <c r="BJ56" s="3"/>
      <c r="BK56" s="11">
        <v>110</v>
      </c>
      <c r="BL56" s="11">
        <v>115</v>
      </c>
      <c r="BM56" s="11">
        <v>100</v>
      </c>
      <c r="BN56" s="11">
        <v>100</v>
      </c>
      <c r="BO56" s="11">
        <v>95</v>
      </c>
      <c r="BP56" s="11">
        <v>100</v>
      </c>
      <c r="BQ56" s="71">
        <f t="shared" si="66"/>
        <v>103.33333333333333</v>
      </c>
      <c r="BR56" s="3"/>
      <c r="BS56" s="11">
        <v>110</v>
      </c>
      <c r="BT56" s="11">
        <v>115</v>
      </c>
      <c r="BU56" s="11">
        <v>100</v>
      </c>
      <c r="BV56" s="11">
        <v>100</v>
      </c>
      <c r="BW56" s="11">
        <v>95</v>
      </c>
      <c r="BX56" s="11">
        <v>100</v>
      </c>
      <c r="BY56" s="71">
        <f t="shared" si="67"/>
        <v>103.33333333333333</v>
      </c>
      <c r="BZ56" s="3"/>
      <c r="CA56" s="433" t="s">
        <v>280</v>
      </c>
      <c r="CB56" s="433"/>
      <c r="CC56" s="433"/>
      <c r="CD56" s="433"/>
      <c r="CE56" s="326"/>
      <c r="CF56" s="326"/>
      <c r="CG56" s="3"/>
      <c r="CH56" t="s">
        <v>281</v>
      </c>
      <c r="CI56" t="s">
        <v>281</v>
      </c>
      <c r="CJ56" s="97"/>
      <c r="CK56" s="71">
        <v>103.33333333333333</v>
      </c>
      <c r="CL56" s="97"/>
      <c r="CM56">
        <f t="shared" si="68"/>
        <v>105</v>
      </c>
      <c r="CN56">
        <f t="shared" si="69"/>
        <v>110</v>
      </c>
      <c r="CO56">
        <f t="shared" si="70"/>
        <v>100</v>
      </c>
      <c r="CP56">
        <f t="shared" si="71"/>
        <v>80</v>
      </c>
      <c r="CQ56">
        <f t="shared" si="72"/>
        <v>90</v>
      </c>
      <c r="CR56">
        <f t="shared" si="73"/>
        <v>90</v>
      </c>
      <c r="CS56" s="97"/>
      <c r="CT56">
        <f t="shared" si="74"/>
        <v>100</v>
      </c>
      <c r="CU56">
        <f t="shared" si="75"/>
        <v>115</v>
      </c>
      <c r="CV56">
        <f t="shared" si="76"/>
        <v>90</v>
      </c>
      <c r="CW56">
        <f t="shared" si="77"/>
        <v>95</v>
      </c>
      <c r="CX56">
        <f t="shared" si="78"/>
        <v>90</v>
      </c>
      <c r="CY56">
        <f t="shared" si="79"/>
        <v>100</v>
      </c>
      <c r="CZ56" s="97"/>
    </row>
    <row r="57" spans="1:104" ht="16" x14ac:dyDescent="0.2">
      <c r="A57" s="44" t="s">
        <v>154</v>
      </c>
      <c r="B57">
        <v>90664</v>
      </c>
      <c r="E57" t="s">
        <v>138</v>
      </c>
      <c r="F57" s="21">
        <v>45860</v>
      </c>
      <c r="G57" s="21"/>
      <c r="H57" s="21"/>
      <c r="I57" s="21"/>
      <c r="J57" s="21"/>
      <c r="O57" s="2"/>
      <c r="P57" s="339">
        <v>1</v>
      </c>
      <c r="Q57" s="299">
        <v>0</v>
      </c>
      <c r="R57" s="299">
        <v>0</v>
      </c>
      <c r="S57" s="299">
        <v>0</v>
      </c>
      <c r="T57" s="299">
        <v>0</v>
      </c>
      <c r="U57" s="299"/>
      <c r="V57" s="2"/>
      <c r="W57">
        <v>0</v>
      </c>
      <c r="X57">
        <v>0</v>
      </c>
      <c r="Y57">
        <v>5</v>
      </c>
      <c r="Z57">
        <v>5</v>
      </c>
      <c r="AA57">
        <v>15</v>
      </c>
      <c r="AB57">
        <v>0</v>
      </c>
      <c r="AC57">
        <v>5</v>
      </c>
      <c r="AD57">
        <v>15</v>
      </c>
      <c r="AE57" s="55">
        <f t="shared" si="64"/>
        <v>2.5</v>
      </c>
      <c r="AF57" s="4" t="s">
        <v>41</v>
      </c>
      <c r="AG57" s="2"/>
      <c r="AH57">
        <v>0</v>
      </c>
      <c r="AI57">
        <v>0</v>
      </c>
      <c r="AJ57">
        <v>0</v>
      </c>
      <c r="AK57">
        <v>10</v>
      </c>
      <c r="AL57">
        <v>0</v>
      </c>
      <c r="AM57">
        <v>5</v>
      </c>
      <c r="AN57">
        <v>15</v>
      </c>
      <c r="AO57">
        <v>15</v>
      </c>
      <c r="AP57" s="55">
        <f t="shared" si="65"/>
        <v>3.75</v>
      </c>
      <c r="AQ57" s="4" t="s">
        <v>41</v>
      </c>
      <c r="AR57" s="2"/>
      <c r="AS57">
        <v>0</v>
      </c>
      <c r="AT57">
        <v>5</v>
      </c>
      <c r="AU57" s="3"/>
      <c r="AV57" s="63">
        <v>100</v>
      </c>
      <c r="AW57" s="63">
        <v>40</v>
      </c>
      <c r="AX57" s="64">
        <v>100</v>
      </c>
      <c r="AY57" s="64">
        <v>45</v>
      </c>
      <c r="AZ57" s="3"/>
      <c r="BA57" s="11">
        <v>10</v>
      </c>
      <c r="BB57" s="11">
        <v>0</v>
      </c>
      <c r="BC57" s="11">
        <v>10</v>
      </c>
      <c r="BD57" s="11">
        <v>20</v>
      </c>
      <c r="BE57" s="3"/>
      <c r="BF57" s="11">
        <v>20</v>
      </c>
      <c r="BG57" s="11">
        <v>10</v>
      </c>
      <c r="BH57" s="11">
        <v>20</v>
      </c>
      <c r="BI57" s="11">
        <v>20</v>
      </c>
      <c r="BJ57" s="3"/>
      <c r="BK57" s="11">
        <v>80</v>
      </c>
      <c r="BL57" s="11">
        <v>85</v>
      </c>
      <c r="BM57" s="11">
        <v>90</v>
      </c>
      <c r="BN57" s="11">
        <v>90</v>
      </c>
      <c r="BO57" s="11">
        <v>80</v>
      </c>
      <c r="BP57" s="11">
        <v>85</v>
      </c>
      <c r="BQ57" s="71">
        <f t="shared" si="66"/>
        <v>85</v>
      </c>
      <c r="BR57" s="3"/>
      <c r="BS57" s="11">
        <v>85</v>
      </c>
      <c r="BT57" s="11">
        <v>80</v>
      </c>
      <c r="BU57" s="11">
        <v>85</v>
      </c>
      <c r="BV57" s="11">
        <v>90</v>
      </c>
      <c r="BW57" s="11">
        <v>80</v>
      </c>
      <c r="BX57" s="49">
        <v>75</v>
      </c>
      <c r="BY57" s="71">
        <f t="shared" si="67"/>
        <v>82.5</v>
      </c>
      <c r="BZ57" s="3"/>
      <c r="CA57" s="433" t="s">
        <v>280</v>
      </c>
      <c r="CB57" s="433"/>
      <c r="CC57" s="433"/>
      <c r="CD57" s="433"/>
      <c r="CE57" s="326"/>
      <c r="CF57" s="326"/>
      <c r="CG57" s="3"/>
      <c r="CH57" t="s">
        <v>281</v>
      </c>
      <c r="CI57" t="s">
        <v>281</v>
      </c>
      <c r="CJ57" s="97"/>
      <c r="CK57" s="71">
        <v>82.5</v>
      </c>
      <c r="CL57" s="97"/>
      <c r="CM57">
        <f t="shared" si="68"/>
        <v>80</v>
      </c>
      <c r="CN57">
        <f t="shared" si="69"/>
        <v>85</v>
      </c>
      <c r="CO57">
        <f t="shared" si="70"/>
        <v>85</v>
      </c>
      <c r="CP57">
        <f t="shared" si="71"/>
        <v>85</v>
      </c>
      <c r="CQ57">
        <f t="shared" si="72"/>
        <v>80</v>
      </c>
      <c r="CR57">
        <f t="shared" si="73"/>
        <v>70</v>
      </c>
      <c r="CS57" s="97"/>
      <c r="CT57">
        <f t="shared" si="74"/>
        <v>85</v>
      </c>
      <c r="CU57">
        <f t="shared" si="75"/>
        <v>80</v>
      </c>
      <c r="CV57">
        <f t="shared" si="76"/>
        <v>85</v>
      </c>
      <c r="CW57">
        <f t="shared" si="77"/>
        <v>80</v>
      </c>
      <c r="CX57">
        <f t="shared" si="78"/>
        <v>75</v>
      </c>
      <c r="CY57">
        <f t="shared" si="79"/>
        <v>60</v>
      </c>
      <c r="CZ57" s="97"/>
    </row>
    <row r="58" spans="1:104" ht="16" x14ac:dyDescent="0.2">
      <c r="A58" s="44" t="s">
        <v>155</v>
      </c>
      <c r="B58">
        <v>401748</v>
      </c>
      <c r="E58" t="s">
        <v>139</v>
      </c>
      <c r="F58" s="21">
        <v>45860</v>
      </c>
      <c r="G58" s="21"/>
      <c r="H58" s="21"/>
      <c r="I58" s="21"/>
      <c r="J58" s="21"/>
      <c r="O58" s="2"/>
      <c r="P58" s="339">
        <v>1</v>
      </c>
      <c r="Q58" s="299">
        <v>0</v>
      </c>
      <c r="R58" s="299">
        <v>0</v>
      </c>
      <c r="S58" s="299">
        <v>0</v>
      </c>
      <c r="T58" s="299">
        <v>0</v>
      </c>
      <c r="U58" s="299"/>
      <c r="V58" s="2"/>
      <c r="W58">
        <v>10</v>
      </c>
      <c r="X58">
        <v>5</v>
      </c>
      <c r="Y58">
        <v>5</v>
      </c>
      <c r="Z58">
        <v>15</v>
      </c>
      <c r="AA58">
        <v>10</v>
      </c>
      <c r="AB58">
        <v>5</v>
      </c>
      <c r="AC58">
        <v>10</v>
      </c>
      <c r="AD58">
        <v>0</v>
      </c>
      <c r="AE58" s="55">
        <f t="shared" si="64"/>
        <v>7.5</v>
      </c>
      <c r="AF58" s="4" t="s">
        <v>41</v>
      </c>
      <c r="AG58" s="2"/>
      <c r="AH58">
        <v>0</v>
      </c>
      <c r="AI58">
        <v>0</v>
      </c>
      <c r="AJ58">
        <v>0</v>
      </c>
      <c r="AK58">
        <v>5</v>
      </c>
      <c r="AL58">
        <v>20</v>
      </c>
      <c r="AM58">
        <v>10</v>
      </c>
      <c r="AN58">
        <v>10</v>
      </c>
      <c r="AO58">
        <v>10</v>
      </c>
      <c r="AP58" s="55">
        <f t="shared" si="65"/>
        <v>3.75</v>
      </c>
      <c r="AQ58" s="4" t="s">
        <v>41</v>
      </c>
      <c r="AR58" s="2"/>
      <c r="AS58">
        <v>10</v>
      </c>
      <c r="AT58">
        <v>0</v>
      </c>
      <c r="AU58" s="3"/>
      <c r="AV58" s="63">
        <v>100</v>
      </c>
      <c r="AW58" s="63">
        <v>60</v>
      </c>
      <c r="AX58" s="64">
        <v>100</v>
      </c>
      <c r="AY58" s="64">
        <v>50</v>
      </c>
      <c r="AZ58" s="3"/>
      <c r="BA58" s="11">
        <v>0</v>
      </c>
      <c r="BB58" s="11">
        <v>0</v>
      </c>
      <c r="BC58" s="11">
        <v>5</v>
      </c>
      <c r="BD58" s="11">
        <v>10</v>
      </c>
      <c r="BE58" s="3"/>
      <c r="BF58" s="11">
        <v>5</v>
      </c>
      <c r="BG58" s="11">
        <v>5</v>
      </c>
      <c r="BH58" s="11">
        <v>20</v>
      </c>
      <c r="BI58" s="11">
        <v>20</v>
      </c>
      <c r="BJ58" s="3"/>
      <c r="BK58" s="11">
        <v>100</v>
      </c>
      <c r="BL58" s="11">
        <v>100</v>
      </c>
      <c r="BM58" s="11">
        <v>100</v>
      </c>
      <c r="BN58" s="11">
        <v>100</v>
      </c>
      <c r="BO58" s="11">
        <v>105</v>
      </c>
      <c r="BP58" s="11">
        <v>105</v>
      </c>
      <c r="BQ58" s="71">
        <f t="shared" si="66"/>
        <v>101.66666666666667</v>
      </c>
      <c r="BR58" s="3"/>
      <c r="BS58" s="49">
        <v>75</v>
      </c>
      <c r="BT58" s="11">
        <v>90</v>
      </c>
      <c r="BU58" s="11">
        <v>100</v>
      </c>
      <c r="BV58" s="11">
        <v>100</v>
      </c>
      <c r="BW58" s="11">
        <v>95</v>
      </c>
      <c r="BX58" s="11">
        <v>95</v>
      </c>
      <c r="BY58" s="71">
        <f t="shared" si="67"/>
        <v>92.5</v>
      </c>
      <c r="BZ58" s="3"/>
      <c r="CA58" s="433" t="s">
        <v>280</v>
      </c>
      <c r="CB58" s="433"/>
      <c r="CC58" s="433"/>
      <c r="CD58" s="433"/>
      <c r="CE58" s="326"/>
      <c r="CF58" s="326"/>
      <c r="CG58" s="3"/>
      <c r="CH58" t="s">
        <v>281</v>
      </c>
      <c r="CI58" t="s">
        <v>281</v>
      </c>
      <c r="CJ58" s="97"/>
      <c r="CK58" s="71">
        <v>92.5</v>
      </c>
      <c r="CL58" s="97"/>
      <c r="CM58">
        <f t="shared" si="68"/>
        <v>90</v>
      </c>
      <c r="CN58">
        <f t="shared" si="69"/>
        <v>95</v>
      </c>
      <c r="CO58">
        <f t="shared" si="70"/>
        <v>95</v>
      </c>
      <c r="CP58">
        <f t="shared" si="71"/>
        <v>85</v>
      </c>
      <c r="CQ58">
        <f t="shared" si="72"/>
        <v>100</v>
      </c>
      <c r="CR58">
        <f t="shared" si="73"/>
        <v>105</v>
      </c>
      <c r="CS58" s="97"/>
      <c r="CT58">
        <f t="shared" si="74"/>
        <v>75</v>
      </c>
      <c r="CU58">
        <f t="shared" si="75"/>
        <v>90</v>
      </c>
      <c r="CV58">
        <f t="shared" si="76"/>
        <v>100</v>
      </c>
      <c r="CW58">
        <f t="shared" si="77"/>
        <v>95</v>
      </c>
      <c r="CX58">
        <f t="shared" si="78"/>
        <v>85</v>
      </c>
      <c r="CY58">
        <f t="shared" si="79"/>
        <v>85</v>
      </c>
      <c r="CZ58" s="97"/>
    </row>
    <row r="59" spans="1:104" ht="16" x14ac:dyDescent="0.2">
      <c r="A59" s="44" t="s">
        <v>156</v>
      </c>
      <c r="B59">
        <v>173309</v>
      </c>
      <c r="E59" t="s">
        <v>140</v>
      </c>
      <c r="F59" s="21">
        <v>45861</v>
      </c>
      <c r="G59" s="21"/>
      <c r="H59" s="21"/>
      <c r="I59" s="21"/>
      <c r="J59" s="21"/>
      <c r="O59" s="2"/>
      <c r="P59" s="339">
        <v>1</v>
      </c>
      <c r="Q59" s="299">
        <v>0</v>
      </c>
      <c r="R59" s="299">
        <v>0</v>
      </c>
      <c r="S59" s="299">
        <v>0</v>
      </c>
      <c r="T59" s="299">
        <v>0</v>
      </c>
      <c r="U59" s="299"/>
      <c r="V59" s="2"/>
      <c r="W59">
        <v>0</v>
      </c>
      <c r="X59">
        <v>5</v>
      </c>
      <c r="Y59">
        <v>0</v>
      </c>
      <c r="Z59">
        <v>5</v>
      </c>
      <c r="AA59">
        <v>0</v>
      </c>
      <c r="AB59">
        <v>5</v>
      </c>
      <c r="AC59">
        <v>10</v>
      </c>
      <c r="AD59">
        <v>5</v>
      </c>
      <c r="AE59" s="55">
        <f t="shared" si="64"/>
        <v>3.75</v>
      </c>
      <c r="AF59" s="4" t="s">
        <v>41</v>
      </c>
      <c r="AG59" s="2"/>
      <c r="AH59">
        <v>0</v>
      </c>
      <c r="AI59">
        <v>5</v>
      </c>
      <c r="AJ59">
        <v>0</v>
      </c>
      <c r="AK59">
        <v>5</v>
      </c>
      <c r="AL59">
        <v>5</v>
      </c>
      <c r="AM59">
        <v>5</v>
      </c>
      <c r="AN59">
        <v>5</v>
      </c>
      <c r="AO59">
        <v>10</v>
      </c>
      <c r="AP59" s="55">
        <f t="shared" si="65"/>
        <v>3.75</v>
      </c>
      <c r="AQ59" s="4" t="s">
        <v>41</v>
      </c>
      <c r="AR59" s="2"/>
      <c r="AS59">
        <v>5</v>
      </c>
      <c r="AT59">
        <v>5</v>
      </c>
      <c r="AU59" s="3"/>
      <c r="AV59" s="63">
        <v>100</v>
      </c>
      <c r="AW59" s="63">
        <v>45</v>
      </c>
      <c r="AX59" s="64">
        <v>100</v>
      </c>
      <c r="AY59" s="64">
        <v>45</v>
      </c>
      <c r="AZ59" s="3"/>
      <c r="BA59" s="11">
        <v>0</v>
      </c>
      <c r="BB59" s="11">
        <v>-5</v>
      </c>
      <c r="BC59" s="11">
        <v>10</v>
      </c>
      <c r="BD59" s="11">
        <v>5</v>
      </c>
      <c r="BE59" s="3"/>
      <c r="BF59" s="11">
        <v>-5</v>
      </c>
      <c r="BG59" s="11">
        <v>-10</v>
      </c>
      <c r="BH59" s="11">
        <v>10</v>
      </c>
      <c r="BI59" s="11">
        <v>5</v>
      </c>
      <c r="BJ59" s="3"/>
      <c r="BK59" s="11">
        <v>110</v>
      </c>
      <c r="BL59" s="11">
        <v>115</v>
      </c>
      <c r="BM59" s="11">
        <v>95</v>
      </c>
      <c r="BN59" s="11">
        <v>115</v>
      </c>
      <c r="BO59" s="11">
        <v>115</v>
      </c>
      <c r="BP59" s="11">
        <v>105</v>
      </c>
      <c r="BQ59" s="71">
        <f t="shared" si="66"/>
        <v>109.16666666666667</v>
      </c>
      <c r="BR59" s="3"/>
      <c r="BS59" s="11">
        <v>110</v>
      </c>
      <c r="BT59" s="11">
        <v>115</v>
      </c>
      <c r="BU59" s="11">
        <v>95</v>
      </c>
      <c r="BV59" s="11">
        <v>95</v>
      </c>
      <c r="BW59" s="11">
        <v>100</v>
      </c>
      <c r="BX59" s="11">
        <v>105</v>
      </c>
      <c r="BY59" s="71">
        <f t="shared" si="67"/>
        <v>103.33333333333333</v>
      </c>
      <c r="BZ59" s="3"/>
      <c r="CA59" s="433" t="s">
        <v>280</v>
      </c>
      <c r="CB59" s="433"/>
      <c r="CC59" s="433"/>
      <c r="CD59" s="433"/>
      <c r="CE59" s="326"/>
      <c r="CF59" s="326"/>
      <c r="CG59" s="3"/>
      <c r="CH59" t="s">
        <v>281</v>
      </c>
      <c r="CI59" t="s">
        <v>281</v>
      </c>
      <c r="CJ59" s="97"/>
      <c r="CK59" s="71">
        <v>103.33333333333333</v>
      </c>
      <c r="CL59" s="97"/>
      <c r="CM59">
        <f t="shared" si="68"/>
        <v>110</v>
      </c>
      <c r="CN59">
        <f t="shared" si="69"/>
        <v>110</v>
      </c>
      <c r="CO59">
        <f t="shared" si="70"/>
        <v>95</v>
      </c>
      <c r="CP59">
        <f t="shared" si="71"/>
        <v>110</v>
      </c>
      <c r="CQ59">
        <f t="shared" si="72"/>
        <v>110</v>
      </c>
      <c r="CR59">
        <f t="shared" si="73"/>
        <v>100</v>
      </c>
      <c r="CS59" s="97"/>
      <c r="CT59">
        <f t="shared" si="74"/>
        <v>110</v>
      </c>
      <c r="CU59">
        <f t="shared" si="75"/>
        <v>110</v>
      </c>
      <c r="CV59">
        <f t="shared" si="76"/>
        <v>95</v>
      </c>
      <c r="CW59">
        <f t="shared" si="77"/>
        <v>90</v>
      </c>
      <c r="CX59">
        <f t="shared" si="78"/>
        <v>95</v>
      </c>
      <c r="CY59">
        <f t="shared" si="79"/>
        <v>95</v>
      </c>
      <c r="CZ59" s="97"/>
    </row>
    <row r="60" spans="1:104" ht="16" x14ac:dyDescent="0.2">
      <c r="A60" s="44" t="s">
        <v>157</v>
      </c>
      <c r="B60">
        <v>209273</v>
      </c>
      <c r="E60" t="s">
        <v>141</v>
      </c>
      <c r="F60" s="21">
        <v>45861</v>
      </c>
      <c r="G60" s="21"/>
      <c r="H60" s="21"/>
      <c r="I60" s="21"/>
      <c r="J60" s="21"/>
      <c r="O60" s="2"/>
      <c r="P60" s="339">
        <v>1</v>
      </c>
      <c r="Q60" s="299">
        <v>0</v>
      </c>
      <c r="R60" s="299">
        <v>0</v>
      </c>
      <c r="S60" s="299">
        <v>0</v>
      </c>
      <c r="T60" s="299">
        <v>0</v>
      </c>
      <c r="U60" s="299"/>
      <c r="V60" s="2"/>
      <c r="W60">
        <v>15</v>
      </c>
      <c r="X60">
        <v>10</v>
      </c>
      <c r="Y60">
        <v>10</v>
      </c>
      <c r="Z60">
        <v>5</v>
      </c>
      <c r="AA60">
        <v>5</v>
      </c>
      <c r="AB60">
        <v>5</v>
      </c>
      <c r="AC60">
        <v>5</v>
      </c>
      <c r="AD60">
        <v>10</v>
      </c>
      <c r="AE60" s="55">
        <f t="shared" si="64"/>
        <v>7.5</v>
      </c>
      <c r="AF60" s="4" t="s">
        <v>41</v>
      </c>
      <c r="AG60" s="2"/>
      <c r="AH60">
        <v>10</v>
      </c>
      <c r="AI60">
        <v>10</v>
      </c>
      <c r="AJ60">
        <v>5</v>
      </c>
      <c r="AK60">
        <v>10</v>
      </c>
      <c r="AL60">
        <v>10</v>
      </c>
      <c r="AM60">
        <v>10</v>
      </c>
      <c r="AN60">
        <v>5</v>
      </c>
      <c r="AO60">
        <v>5</v>
      </c>
      <c r="AP60" s="55">
        <f t="shared" si="65"/>
        <v>8.75</v>
      </c>
      <c r="AQ60" s="4" t="s">
        <v>41</v>
      </c>
      <c r="AR60" s="2"/>
      <c r="AS60">
        <v>5</v>
      </c>
      <c r="AT60">
        <v>5</v>
      </c>
      <c r="AU60" s="3"/>
      <c r="AV60" s="63">
        <v>96</v>
      </c>
      <c r="AW60" s="63">
        <v>45</v>
      </c>
      <c r="AX60" s="64">
        <v>100</v>
      </c>
      <c r="AY60" s="64">
        <v>45</v>
      </c>
      <c r="AZ60" s="3"/>
      <c r="BA60" s="11">
        <v>-5</v>
      </c>
      <c r="BB60" s="11">
        <v>-5</v>
      </c>
      <c r="BC60" s="11">
        <v>0</v>
      </c>
      <c r="BD60" s="11">
        <v>5</v>
      </c>
      <c r="BE60" s="3"/>
      <c r="BF60" s="11">
        <v>5</v>
      </c>
      <c r="BG60" s="11">
        <v>5</v>
      </c>
      <c r="BH60" s="11">
        <v>10</v>
      </c>
      <c r="BI60" s="11">
        <v>10</v>
      </c>
      <c r="BJ60" s="3"/>
      <c r="BK60" s="11">
        <v>110</v>
      </c>
      <c r="BL60" s="11">
        <v>110</v>
      </c>
      <c r="BM60" s="11">
        <v>115</v>
      </c>
      <c r="BN60" s="11">
        <v>105</v>
      </c>
      <c r="BO60" s="11">
        <v>110</v>
      </c>
      <c r="BP60" s="11">
        <v>105</v>
      </c>
      <c r="BQ60" s="71">
        <f t="shared" si="66"/>
        <v>109.16666666666667</v>
      </c>
      <c r="BR60" s="3"/>
      <c r="BS60" s="11">
        <v>95</v>
      </c>
      <c r="BT60" s="11">
        <v>105</v>
      </c>
      <c r="BU60" s="11">
        <v>115</v>
      </c>
      <c r="BV60" s="11">
        <v>90</v>
      </c>
      <c r="BW60" s="11">
        <v>100</v>
      </c>
      <c r="BX60" s="11">
        <v>105</v>
      </c>
      <c r="BY60" s="71">
        <f t="shared" si="67"/>
        <v>101.66666666666667</v>
      </c>
      <c r="BZ60" s="3"/>
      <c r="CA60" s="433" t="s">
        <v>280</v>
      </c>
      <c r="CB60" s="433"/>
      <c r="CC60" s="433"/>
      <c r="CD60" s="433"/>
      <c r="CE60" s="326"/>
      <c r="CF60" s="326"/>
      <c r="CG60" s="3"/>
      <c r="CH60" t="s">
        <v>281</v>
      </c>
      <c r="CI60" t="s">
        <v>281</v>
      </c>
      <c r="CJ60" s="97"/>
      <c r="CK60" s="71">
        <v>101.66666666666667</v>
      </c>
      <c r="CL60" s="97"/>
      <c r="CM60">
        <f t="shared" si="68"/>
        <v>95</v>
      </c>
      <c r="CN60">
        <f t="shared" si="69"/>
        <v>100</v>
      </c>
      <c r="CO60">
        <f t="shared" si="70"/>
        <v>105</v>
      </c>
      <c r="CP60">
        <f t="shared" si="71"/>
        <v>100</v>
      </c>
      <c r="CQ60">
        <f t="shared" si="72"/>
        <v>105</v>
      </c>
      <c r="CR60">
        <f t="shared" si="73"/>
        <v>95</v>
      </c>
      <c r="CS60" s="97"/>
      <c r="CT60">
        <f t="shared" si="74"/>
        <v>85</v>
      </c>
      <c r="CU60">
        <f t="shared" si="75"/>
        <v>95</v>
      </c>
      <c r="CV60">
        <f t="shared" si="76"/>
        <v>110</v>
      </c>
      <c r="CW60">
        <f t="shared" si="77"/>
        <v>80</v>
      </c>
      <c r="CX60">
        <f t="shared" si="78"/>
        <v>90</v>
      </c>
      <c r="CY60">
        <f t="shared" si="79"/>
        <v>100</v>
      </c>
      <c r="CZ60" s="97"/>
    </row>
    <row r="61" spans="1:104" ht="16" x14ac:dyDescent="0.2">
      <c r="A61" s="44" t="s">
        <v>225</v>
      </c>
      <c r="B61">
        <v>237361</v>
      </c>
      <c r="E61" t="s">
        <v>142</v>
      </c>
      <c r="F61" s="21">
        <v>45868</v>
      </c>
      <c r="G61" s="21"/>
      <c r="H61" s="21"/>
      <c r="I61" s="21"/>
      <c r="J61" s="21"/>
      <c r="O61" s="2"/>
      <c r="P61" s="339">
        <v>1</v>
      </c>
      <c r="Q61" s="299">
        <v>0</v>
      </c>
      <c r="R61" s="299">
        <v>0</v>
      </c>
      <c r="S61" s="299">
        <v>0</v>
      </c>
      <c r="T61" s="299">
        <v>0</v>
      </c>
      <c r="U61" s="299"/>
      <c r="V61" s="2"/>
      <c r="W61">
        <v>5</v>
      </c>
      <c r="X61">
        <v>10</v>
      </c>
      <c r="Y61">
        <v>15</v>
      </c>
      <c r="Z61">
        <v>15</v>
      </c>
      <c r="AA61">
        <v>10</v>
      </c>
      <c r="AB61">
        <v>5</v>
      </c>
      <c r="AC61">
        <v>10</v>
      </c>
      <c r="AD61">
        <v>10</v>
      </c>
      <c r="AE61" s="55">
        <f t="shared" si="64"/>
        <v>11.25</v>
      </c>
      <c r="AF61" s="4" t="s">
        <v>41</v>
      </c>
      <c r="AG61" s="2"/>
      <c r="AH61">
        <v>0</v>
      </c>
      <c r="AI61">
        <v>5</v>
      </c>
      <c r="AJ61">
        <v>15</v>
      </c>
      <c r="AK61">
        <v>15</v>
      </c>
      <c r="AL61">
        <v>15</v>
      </c>
      <c r="AM61">
        <v>10</v>
      </c>
      <c r="AN61">
        <v>15</v>
      </c>
      <c r="AO61">
        <v>15</v>
      </c>
      <c r="AP61" s="55">
        <f t="shared" si="65"/>
        <v>11.25</v>
      </c>
      <c r="AQ61" s="4" t="s">
        <v>41</v>
      </c>
      <c r="AR61" s="2"/>
      <c r="AS61">
        <v>15</v>
      </c>
      <c r="AT61">
        <v>10</v>
      </c>
      <c r="AU61" s="3"/>
      <c r="AV61" s="63">
        <v>100</v>
      </c>
      <c r="AW61" s="63">
        <v>55</v>
      </c>
      <c r="AX61" s="64">
        <v>96</v>
      </c>
      <c r="AY61" s="64">
        <v>50</v>
      </c>
      <c r="AZ61" s="3"/>
      <c r="BA61" s="11">
        <v>10</v>
      </c>
      <c r="BB61" s="11">
        <v>10</v>
      </c>
      <c r="BC61" s="11">
        <v>20</v>
      </c>
      <c r="BD61" s="11">
        <v>10</v>
      </c>
      <c r="BE61" s="3"/>
      <c r="BF61" s="11">
        <v>0</v>
      </c>
      <c r="BG61" s="11">
        <v>5</v>
      </c>
      <c r="BH61" s="11">
        <v>25</v>
      </c>
      <c r="BI61" s="11">
        <v>0</v>
      </c>
      <c r="BJ61" s="3"/>
      <c r="BK61" s="11">
        <v>105</v>
      </c>
      <c r="BL61" s="11">
        <v>90</v>
      </c>
      <c r="BM61" s="11">
        <v>90</v>
      </c>
      <c r="BN61" s="11">
        <v>90</v>
      </c>
      <c r="BO61" s="11">
        <v>85</v>
      </c>
      <c r="BP61" s="11">
        <v>85</v>
      </c>
      <c r="BQ61" s="71">
        <f t="shared" si="66"/>
        <v>90.833333333333329</v>
      </c>
      <c r="BR61" s="3"/>
      <c r="BS61" s="11">
        <v>110</v>
      </c>
      <c r="BT61" s="11">
        <v>105</v>
      </c>
      <c r="BU61" s="11">
        <v>85</v>
      </c>
      <c r="BV61" s="11">
        <v>90</v>
      </c>
      <c r="BW61" s="11">
        <v>95</v>
      </c>
      <c r="BX61" s="11">
        <v>105</v>
      </c>
      <c r="BY61" s="71">
        <f t="shared" si="67"/>
        <v>98.333333333333329</v>
      </c>
      <c r="BZ61" s="3"/>
      <c r="CA61" s="433" t="s">
        <v>280</v>
      </c>
      <c r="CB61" s="433"/>
      <c r="CC61" s="433"/>
      <c r="CD61" s="433"/>
      <c r="CE61" s="326"/>
      <c r="CF61" s="326"/>
      <c r="CG61" s="3"/>
      <c r="CH61" t="s">
        <v>281</v>
      </c>
      <c r="CI61" t="s">
        <v>281</v>
      </c>
      <c r="CJ61" s="97"/>
      <c r="CK61" s="71">
        <v>90.833333333333329</v>
      </c>
      <c r="CL61" s="97"/>
      <c r="CM61">
        <f t="shared" si="68"/>
        <v>100</v>
      </c>
      <c r="CN61">
        <f t="shared" si="69"/>
        <v>80</v>
      </c>
      <c r="CO61">
        <f t="shared" si="70"/>
        <v>75</v>
      </c>
      <c r="CP61">
        <f t="shared" si="71"/>
        <v>75</v>
      </c>
      <c r="CQ61">
        <f t="shared" si="72"/>
        <v>80</v>
      </c>
      <c r="CR61">
        <f t="shared" si="73"/>
        <v>75</v>
      </c>
      <c r="CS61" s="97"/>
      <c r="CT61">
        <f t="shared" si="74"/>
        <v>110</v>
      </c>
      <c r="CU61">
        <f t="shared" si="75"/>
        <v>100</v>
      </c>
      <c r="CV61">
        <f t="shared" si="76"/>
        <v>70</v>
      </c>
      <c r="CW61">
        <f t="shared" si="77"/>
        <v>75</v>
      </c>
      <c r="CX61">
        <f t="shared" si="78"/>
        <v>85</v>
      </c>
      <c r="CY61">
        <f t="shared" si="79"/>
        <v>90</v>
      </c>
      <c r="CZ61" s="97"/>
    </row>
    <row r="62" spans="1:104" ht="16" x14ac:dyDescent="0.2">
      <c r="A62" s="44" t="s">
        <v>159</v>
      </c>
      <c r="B62">
        <v>540007</v>
      </c>
      <c r="E62" t="s">
        <v>143</v>
      </c>
      <c r="F62" s="21">
        <v>45874</v>
      </c>
      <c r="G62" s="21"/>
      <c r="H62" s="21"/>
      <c r="I62" s="21"/>
      <c r="J62" s="21"/>
      <c r="O62" s="2"/>
      <c r="P62" s="339">
        <v>1</v>
      </c>
      <c r="Q62" s="299">
        <v>0</v>
      </c>
      <c r="R62" s="299">
        <v>0</v>
      </c>
      <c r="S62" s="299">
        <v>0</v>
      </c>
      <c r="T62" s="299">
        <v>0</v>
      </c>
      <c r="U62" s="299"/>
      <c r="V62" s="2"/>
      <c r="W62">
        <v>15</v>
      </c>
      <c r="X62">
        <v>10</v>
      </c>
      <c r="Y62">
        <v>5</v>
      </c>
      <c r="Z62">
        <v>0</v>
      </c>
      <c r="AA62">
        <v>10</v>
      </c>
      <c r="AB62">
        <v>10</v>
      </c>
      <c r="AC62">
        <v>-5</v>
      </c>
      <c r="AD62">
        <v>-10</v>
      </c>
      <c r="AE62" s="55">
        <f t="shared" si="64"/>
        <v>6.25</v>
      </c>
      <c r="AF62" s="4" t="s">
        <v>41</v>
      </c>
      <c r="AG62" s="2"/>
      <c r="AH62">
        <v>15</v>
      </c>
      <c r="AI62">
        <v>10</v>
      </c>
      <c r="AJ62">
        <v>5</v>
      </c>
      <c r="AK62">
        <v>5</v>
      </c>
      <c r="AL62">
        <v>10</v>
      </c>
      <c r="AM62">
        <v>10</v>
      </c>
      <c r="AN62">
        <v>0</v>
      </c>
      <c r="AO62">
        <v>0</v>
      </c>
      <c r="AP62" s="55">
        <f t="shared" si="65"/>
        <v>7.5</v>
      </c>
      <c r="AQ62" s="4" t="s">
        <v>41</v>
      </c>
      <c r="AR62" s="2"/>
      <c r="AS62">
        <v>10</v>
      </c>
      <c r="AT62">
        <v>10</v>
      </c>
      <c r="AU62" s="3"/>
      <c r="AV62" s="63">
        <v>100</v>
      </c>
      <c r="AW62" s="63">
        <v>50</v>
      </c>
      <c r="AX62" s="64">
        <v>100</v>
      </c>
      <c r="AY62" s="64">
        <v>50</v>
      </c>
      <c r="AZ62" s="3"/>
      <c r="BA62" s="11">
        <v>-5</v>
      </c>
      <c r="BB62" s="11">
        <v>0</v>
      </c>
      <c r="BC62" s="11">
        <v>5</v>
      </c>
      <c r="BD62" s="11">
        <v>25</v>
      </c>
      <c r="BE62" s="3"/>
      <c r="BF62" s="11">
        <v>-5</v>
      </c>
      <c r="BG62" s="11">
        <v>-10</v>
      </c>
      <c r="BH62" s="11">
        <v>0</v>
      </c>
      <c r="BI62" s="11">
        <v>5</v>
      </c>
      <c r="BJ62" s="3"/>
      <c r="BK62" s="11">
        <v>85</v>
      </c>
      <c r="BL62" s="11">
        <v>90</v>
      </c>
      <c r="BM62" s="11">
        <v>95</v>
      </c>
      <c r="BN62" s="11">
        <v>85</v>
      </c>
      <c r="BO62" s="11">
        <v>95</v>
      </c>
      <c r="BP62" s="49">
        <v>70</v>
      </c>
      <c r="BQ62" s="71">
        <f t="shared" si="66"/>
        <v>86.666666666666671</v>
      </c>
      <c r="BR62" s="3"/>
      <c r="BS62" s="11">
        <v>90</v>
      </c>
      <c r="BT62" s="11">
        <v>95</v>
      </c>
      <c r="BU62" s="11">
        <v>90</v>
      </c>
      <c r="BV62" s="11">
        <v>90</v>
      </c>
      <c r="BW62" s="11">
        <v>85</v>
      </c>
      <c r="BX62" s="49">
        <v>75</v>
      </c>
      <c r="BY62" s="71">
        <f t="shared" si="67"/>
        <v>87.5</v>
      </c>
      <c r="BZ62" s="3"/>
      <c r="CA62" s="433" t="s">
        <v>280</v>
      </c>
      <c r="CB62" s="433"/>
      <c r="CC62" s="433"/>
      <c r="CD62" s="433"/>
      <c r="CE62" s="326"/>
      <c r="CF62" s="326"/>
      <c r="CG62" s="3"/>
      <c r="CH62" t="s">
        <v>281</v>
      </c>
      <c r="CI62" t="s">
        <v>281</v>
      </c>
      <c r="CJ62" s="97"/>
      <c r="CK62" s="71">
        <v>86.666666666666671</v>
      </c>
      <c r="CL62" s="97"/>
      <c r="CM62">
        <f t="shared" si="68"/>
        <v>70</v>
      </c>
      <c r="CN62">
        <f t="shared" si="69"/>
        <v>80</v>
      </c>
      <c r="CO62">
        <f t="shared" si="70"/>
        <v>90</v>
      </c>
      <c r="CP62">
        <f t="shared" si="71"/>
        <v>85</v>
      </c>
      <c r="CQ62">
        <f t="shared" si="72"/>
        <v>85</v>
      </c>
      <c r="CR62">
        <f t="shared" si="73"/>
        <v>80</v>
      </c>
      <c r="CS62" s="97"/>
      <c r="CT62">
        <f t="shared" si="74"/>
        <v>75</v>
      </c>
      <c r="CU62">
        <f t="shared" si="75"/>
        <v>85</v>
      </c>
      <c r="CV62">
        <f t="shared" si="76"/>
        <v>85</v>
      </c>
      <c r="CW62">
        <f t="shared" si="77"/>
        <v>85</v>
      </c>
      <c r="CX62">
        <f t="shared" si="78"/>
        <v>75</v>
      </c>
      <c r="CY62">
        <f t="shared" si="79"/>
        <v>75</v>
      </c>
      <c r="CZ62" s="97"/>
    </row>
    <row r="63" spans="1:104" ht="16" x14ac:dyDescent="0.2">
      <c r="A63" t="s">
        <v>160</v>
      </c>
      <c r="B63">
        <v>64839</v>
      </c>
      <c r="E63" t="s">
        <v>144</v>
      </c>
      <c r="F63" s="21">
        <v>45926</v>
      </c>
      <c r="G63" s="21"/>
      <c r="H63" s="21"/>
      <c r="I63" s="21"/>
      <c r="J63" s="21"/>
      <c r="O63" s="2"/>
      <c r="P63" s="339">
        <v>1</v>
      </c>
      <c r="Q63" s="299">
        <v>0</v>
      </c>
      <c r="R63" s="299">
        <v>0</v>
      </c>
      <c r="S63" s="299">
        <v>0</v>
      </c>
      <c r="T63" s="299">
        <v>0</v>
      </c>
      <c r="U63" s="299"/>
      <c r="V63" s="2"/>
      <c r="W63">
        <v>0</v>
      </c>
      <c r="X63">
        <v>0</v>
      </c>
      <c r="Y63">
        <v>5</v>
      </c>
      <c r="Z63">
        <v>0</v>
      </c>
      <c r="AA63">
        <v>10</v>
      </c>
      <c r="AB63">
        <v>5</v>
      </c>
      <c r="AC63">
        <v>-5</v>
      </c>
      <c r="AD63">
        <v>0</v>
      </c>
      <c r="AE63" s="55">
        <f t="shared" si="64"/>
        <v>2.5</v>
      </c>
      <c r="AF63" s="4" t="s">
        <v>41</v>
      </c>
      <c r="AG63" s="2"/>
      <c r="AH63">
        <v>5</v>
      </c>
      <c r="AI63">
        <v>10</v>
      </c>
      <c r="AJ63">
        <v>5</v>
      </c>
      <c r="AK63">
        <v>0</v>
      </c>
      <c r="AL63">
        <v>10</v>
      </c>
      <c r="AM63">
        <v>5</v>
      </c>
      <c r="AN63">
        <v>0</v>
      </c>
      <c r="AO63">
        <v>5</v>
      </c>
      <c r="AP63" s="55">
        <f t="shared" si="65"/>
        <v>5</v>
      </c>
      <c r="AQ63" s="4" t="s">
        <v>41</v>
      </c>
      <c r="AR63" s="2"/>
      <c r="AS63">
        <v>10</v>
      </c>
      <c r="AT63">
        <v>10</v>
      </c>
      <c r="AU63" s="3"/>
      <c r="AV63" s="63">
        <v>100</v>
      </c>
      <c r="AW63" s="63">
        <v>50</v>
      </c>
      <c r="AX63" s="64">
        <v>96</v>
      </c>
      <c r="AY63" s="64">
        <v>50</v>
      </c>
      <c r="AZ63" s="3"/>
      <c r="BA63" s="11">
        <v>15</v>
      </c>
      <c r="BB63" s="11">
        <v>5</v>
      </c>
      <c r="BC63" s="11">
        <v>5</v>
      </c>
      <c r="BD63" s="11">
        <v>20</v>
      </c>
      <c r="BE63" s="3"/>
      <c r="BF63" s="11">
        <v>15</v>
      </c>
      <c r="BG63" s="49">
        <v>30</v>
      </c>
      <c r="BH63" s="49">
        <v>45</v>
      </c>
      <c r="BI63" s="49">
        <v>50</v>
      </c>
      <c r="BJ63" s="3"/>
      <c r="BK63" s="11">
        <v>105</v>
      </c>
      <c r="BL63" s="11">
        <v>105</v>
      </c>
      <c r="BM63" s="11">
        <v>105</v>
      </c>
      <c r="BN63" s="11">
        <v>100</v>
      </c>
      <c r="BO63" s="11">
        <v>115</v>
      </c>
      <c r="BP63" s="11">
        <v>105</v>
      </c>
      <c r="BQ63" s="71">
        <f t="shared" si="66"/>
        <v>105.83333333333333</v>
      </c>
      <c r="BR63" s="3"/>
      <c r="BS63" s="11">
        <v>105</v>
      </c>
      <c r="BT63" s="11">
        <v>105</v>
      </c>
      <c r="BU63" s="11">
        <v>100</v>
      </c>
      <c r="BV63" s="11">
        <v>105</v>
      </c>
      <c r="BW63" s="11">
        <v>110</v>
      </c>
      <c r="BX63" s="11">
        <v>105</v>
      </c>
      <c r="BY63" s="71">
        <f t="shared" si="67"/>
        <v>105</v>
      </c>
      <c r="BZ63" s="3"/>
      <c r="CA63" s="433" t="s">
        <v>280</v>
      </c>
      <c r="CB63" s="433"/>
      <c r="CC63" s="433"/>
      <c r="CD63" s="433"/>
      <c r="CE63" s="326"/>
      <c r="CF63" s="326"/>
      <c r="CG63" s="3"/>
      <c r="CH63" t="s">
        <v>281</v>
      </c>
      <c r="CI63" t="s">
        <v>281</v>
      </c>
      <c r="CJ63" s="97"/>
      <c r="CK63" s="71">
        <v>105</v>
      </c>
      <c r="CL63" s="97"/>
      <c r="CM63">
        <f t="shared" si="68"/>
        <v>105</v>
      </c>
      <c r="CN63">
        <f t="shared" si="69"/>
        <v>105</v>
      </c>
      <c r="CO63">
        <f t="shared" si="70"/>
        <v>100</v>
      </c>
      <c r="CP63">
        <f t="shared" si="71"/>
        <v>100</v>
      </c>
      <c r="CQ63">
        <f t="shared" si="72"/>
        <v>110</v>
      </c>
      <c r="CR63">
        <f t="shared" si="73"/>
        <v>105</v>
      </c>
      <c r="CS63" s="97"/>
      <c r="CT63">
        <f t="shared" si="74"/>
        <v>100</v>
      </c>
      <c r="CU63">
        <f t="shared" si="75"/>
        <v>95</v>
      </c>
      <c r="CV63">
        <f t="shared" si="76"/>
        <v>95</v>
      </c>
      <c r="CW63">
        <f t="shared" si="77"/>
        <v>105</v>
      </c>
      <c r="CX63">
        <f t="shared" si="78"/>
        <v>105</v>
      </c>
      <c r="CY63">
        <f t="shared" si="79"/>
        <v>100</v>
      </c>
      <c r="CZ63" s="97"/>
    </row>
    <row r="64" spans="1:104" ht="16" x14ac:dyDescent="0.2">
      <c r="A64" s="44" t="s">
        <v>161</v>
      </c>
      <c r="B64">
        <v>392487</v>
      </c>
      <c r="E64" t="s">
        <v>145</v>
      </c>
      <c r="F64" s="21">
        <v>45943</v>
      </c>
      <c r="G64" s="21"/>
      <c r="H64" s="21"/>
      <c r="I64" s="21"/>
      <c r="J64" s="21"/>
      <c r="O64" s="2"/>
      <c r="P64" s="339">
        <v>1</v>
      </c>
      <c r="Q64" s="299">
        <v>0</v>
      </c>
      <c r="R64" s="299">
        <v>0</v>
      </c>
      <c r="S64" s="299">
        <v>0</v>
      </c>
      <c r="T64" s="299">
        <v>0</v>
      </c>
      <c r="U64" s="299"/>
      <c r="V64" s="2"/>
      <c r="W64">
        <v>10</v>
      </c>
      <c r="X64">
        <v>5</v>
      </c>
      <c r="Y64">
        <v>5</v>
      </c>
      <c r="Z64">
        <v>5</v>
      </c>
      <c r="AA64">
        <v>0</v>
      </c>
      <c r="AB64">
        <v>0</v>
      </c>
      <c r="AC64">
        <v>0</v>
      </c>
      <c r="AD64">
        <v>5</v>
      </c>
      <c r="AE64" s="55">
        <f t="shared" si="64"/>
        <v>3.75</v>
      </c>
      <c r="AF64" s="4" t="s">
        <v>41</v>
      </c>
      <c r="AG64" s="2"/>
      <c r="AH64">
        <v>0</v>
      </c>
      <c r="AI64">
        <v>0</v>
      </c>
      <c r="AJ64">
        <v>5</v>
      </c>
      <c r="AK64">
        <v>5</v>
      </c>
      <c r="AL64">
        <v>0</v>
      </c>
      <c r="AM64">
        <v>5</v>
      </c>
      <c r="AN64">
        <v>15</v>
      </c>
      <c r="AO64">
        <v>10</v>
      </c>
      <c r="AP64" s="55">
        <f t="shared" si="65"/>
        <v>3.75</v>
      </c>
      <c r="AQ64" s="4" t="s">
        <v>41</v>
      </c>
      <c r="AR64" s="2"/>
      <c r="AS64">
        <v>0</v>
      </c>
      <c r="AT64">
        <v>5</v>
      </c>
      <c r="AU64" s="3"/>
      <c r="AV64" s="63">
        <v>100</v>
      </c>
      <c r="AW64" s="63">
        <v>40</v>
      </c>
      <c r="AX64" s="64">
        <v>100</v>
      </c>
      <c r="AY64" s="64">
        <v>45</v>
      </c>
      <c r="AZ64" s="3"/>
      <c r="BA64" s="11">
        <v>5</v>
      </c>
      <c r="BB64" s="11">
        <v>15</v>
      </c>
      <c r="BC64" s="49">
        <v>30</v>
      </c>
      <c r="BD64" s="49">
        <v>40</v>
      </c>
      <c r="BE64" s="3"/>
      <c r="BF64" s="11">
        <v>5</v>
      </c>
      <c r="BG64" s="11">
        <v>20</v>
      </c>
      <c r="BH64" s="49">
        <v>50</v>
      </c>
      <c r="BI64" s="49">
        <v>50</v>
      </c>
      <c r="BJ64" s="3"/>
      <c r="BK64" s="11">
        <v>100</v>
      </c>
      <c r="BL64" s="11">
        <v>110</v>
      </c>
      <c r="BM64" s="11">
        <v>90</v>
      </c>
      <c r="BN64" s="11">
        <v>90</v>
      </c>
      <c r="BO64" s="11">
        <v>80</v>
      </c>
      <c r="BP64" s="49">
        <v>70</v>
      </c>
      <c r="BQ64" s="71">
        <f t="shared" si="66"/>
        <v>90</v>
      </c>
      <c r="BR64" s="3"/>
      <c r="BS64">
        <v>105</v>
      </c>
      <c r="BT64">
        <v>105</v>
      </c>
      <c r="BU64">
        <v>100</v>
      </c>
      <c r="BV64">
        <v>105</v>
      </c>
      <c r="BW64">
        <v>85</v>
      </c>
      <c r="BX64" s="30">
        <v>70</v>
      </c>
      <c r="BY64" s="71">
        <f t="shared" si="67"/>
        <v>95</v>
      </c>
      <c r="BZ64" s="3"/>
      <c r="CA64" s="433" t="s">
        <v>280</v>
      </c>
      <c r="CB64" s="433"/>
      <c r="CC64" s="433"/>
      <c r="CD64" s="433"/>
      <c r="CE64" s="326"/>
      <c r="CF64" s="326"/>
      <c r="CG64" s="3"/>
      <c r="CH64" t="s">
        <v>281</v>
      </c>
      <c r="CI64" t="s">
        <v>279</v>
      </c>
      <c r="CJ64" s="97"/>
      <c r="CK64" s="71">
        <v>90</v>
      </c>
      <c r="CL64" s="97"/>
      <c r="CM64">
        <f t="shared" si="68"/>
        <v>90</v>
      </c>
      <c r="CN64">
        <f t="shared" si="69"/>
        <v>105</v>
      </c>
      <c r="CO64">
        <f t="shared" si="70"/>
        <v>85</v>
      </c>
      <c r="CP64">
        <f t="shared" si="71"/>
        <v>85</v>
      </c>
      <c r="CQ64">
        <f t="shared" si="72"/>
        <v>80</v>
      </c>
      <c r="CR64">
        <f t="shared" si="73"/>
        <v>65</v>
      </c>
      <c r="CS64" s="97"/>
      <c r="CT64">
        <f t="shared" si="74"/>
        <v>105</v>
      </c>
      <c r="CU64">
        <f t="shared" si="75"/>
        <v>105</v>
      </c>
      <c r="CV64">
        <f t="shared" si="76"/>
        <v>95</v>
      </c>
      <c r="CW64">
        <f t="shared" si="77"/>
        <v>100</v>
      </c>
      <c r="CX64">
        <f t="shared" si="78"/>
        <v>80</v>
      </c>
      <c r="CY64">
        <f t="shared" si="79"/>
        <v>60</v>
      </c>
      <c r="CZ64" s="97"/>
    </row>
    <row r="65" spans="1:108" ht="16" x14ac:dyDescent="0.2">
      <c r="A65" s="44" t="s">
        <v>162</v>
      </c>
      <c r="B65">
        <v>750492</v>
      </c>
      <c r="E65" t="s">
        <v>146</v>
      </c>
      <c r="F65" s="21">
        <v>45996</v>
      </c>
      <c r="G65" s="21"/>
      <c r="H65" s="21"/>
      <c r="I65" s="21"/>
      <c r="J65" s="21"/>
      <c r="O65" s="2"/>
      <c r="P65" s="339">
        <v>1</v>
      </c>
      <c r="Q65" s="299">
        <v>0</v>
      </c>
      <c r="R65" s="299">
        <v>0</v>
      </c>
      <c r="S65" s="299">
        <v>0</v>
      </c>
      <c r="T65" s="299">
        <v>0</v>
      </c>
      <c r="U65" s="299"/>
      <c r="V65" s="2"/>
      <c r="W65" s="276">
        <v>5</v>
      </c>
      <c r="X65" s="276">
        <v>0</v>
      </c>
      <c r="Y65" s="276">
        <v>0</v>
      </c>
      <c r="Z65" s="276">
        <v>10</v>
      </c>
      <c r="AA65" s="276">
        <v>15</v>
      </c>
      <c r="AB65" s="276">
        <v>10</v>
      </c>
      <c r="AC65" s="276">
        <v>5</v>
      </c>
      <c r="AD65" s="276">
        <v>15</v>
      </c>
      <c r="AE65" s="55">
        <f t="shared" si="64"/>
        <v>5</v>
      </c>
      <c r="AF65" s="4" t="s">
        <v>41</v>
      </c>
      <c r="AG65" s="2"/>
      <c r="AH65">
        <v>0</v>
      </c>
      <c r="AI65">
        <v>5</v>
      </c>
      <c r="AJ65">
        <v>5</v>
      </c>
      <c r="AK65">
        <v>5</v>
      </c>
      <c r="AL65">
        <v>10</v>
      </c>
      <c r="AM65">
        <v>10</v>
      </c>
      <c r="AN65">
        <v>10</v>
      </c>
      <c r="AO65">
        <v>5</v>
      </c>
      <c r="AP65" s="55">
        <f t="shared" si="65"/>
        <v>6.25</v>
      </c>
      <c r="AQ65" s="4" t="s">
        <v>41</v>
      </c>
      <c r="AR65" s="2"/>
      <c r="AS65">
        <v>10</v>
      </c>
      <c r="AT65">
        <v>5</v>
      </c>
      <c r="AU65" s="3"/>
      <c r="AV65" s="63">
        <v>100</v>
      </c>
      <c r="AW65" s="63">
        <v>50</v>
      </c>
      <c r="AX65" s="64">
        <v>100</v>
      </c>
      <c r="AY65" s="64">
        <v>45</v>
      </c>
      <c r="AZ65" s="3"/>
      <c r="BA65" s="11">
        <v>15</v>
      </c>
      <c r="BB65" s="11">
        <v>10</v>
      </c>
      <c r="BC65" s="49">
        <v>30</v>
      </c>
      <c r="BD65" s="49">
        <v>35</v>
      </c>
      <c r="BE65" s="3"/>
      <c r="BF65" s="11">
        <v>10</v>
      </c>
      <c r="BG65" s="11">
        <v>15</v>
      </c>
      <c r="BH65" s="50">
        <v>25</v>
      </c>
      <c r="BI65" s="50">
        <v>25</v>
      </c>
      <c r="BJ65" s="3"/>
      <c r="BK65" s="11">
        <v>105</v>
      </c>
      <c r="BL65" s="11">
        <v>95</v>
      </c>
      <c r="BM65" s="11">
        <v>95</v>
      </c>
      <c r="BN65" s="11">
        <v>90</v>
      </c>
      <c r="BO65" s="11">
        <v>100</v>
      </c>
      <c r="BP65" s="50">
        <v>95</v>
      </c>
      <c r="BQ65" s="71">
        <f t="shared" si="66"/>
        <v>96.666666666666671</v>
      </c>
      <c r="BR65" s="3"/>
      <c r="BS65" s="11">
        <v>100</v>
      </c>
      <c r="BT65" s="11">
        <v>100</v>
      </c>
      <c r="BU65" s="11">
        <v>100</v>
      </c>
      <c r="BV65" s="11">
        <v>90</v>
      </c>
      <c r="BW65" s="11">
        <v>100</v>
      </c>
      <c r="BX65" s="22">
        <v>100</v>
      </c>
      <c r="BY65" s="71">
        <f t="shared" si="67"/>
        <v>98.333333333333329</v>
      </c>
      <c r="BZ65" s="3"/>
      <c r="CA65" s="433" t="s">
        <v>280</v>
      </c>
      <c r="CB65" s="433"/>
      <c r="CC65" s="433"/>
      <c r="CD65" s="433"/>
      <c r="CE65" s="326"/>
      <c r="CF65" s="326"/>
      <c r="CG65" s="3"/>
      <c r="CH65" t="s">
        <v>281</v>
      </c>
      <c r="CI65" t="s">
        <v>281</v>
      </c>
      <c r="CJ65" s="97"/>
      <c r="CK65" s="71">
        <v>96.666666666666671</v>
      </c>
      <c r="CL65" s="97"/>
      <c r="CM65">
        <f t="shared" si="68"/>
        <v>100</v>
      </c>
      <c r="CN65">
        <f t="shared" si="69"/>
        <v>95</v>
      </c>
      <c r="CO65">
        <f t="shared" si="70"/>
        <v>95</v>
      </c>
      <c r="CP65">
        <f t="shared" si="71"/>
        <v>80</v>
      </c>
      <c r="CQ65">
        <f t="shared" si="72"/>
        <v>90</v>
      </c>
      <c r="CR65">
        <f t="shared" si="73"/>
        <v>80</v>
      </c>
      <c r="CS65" s="97"/>
      <c r="CT65">
        <f t="shared" si="74"/>
        <v>100</v>
      </c>
      <c r="CU65">
        <f t="shared" si="75"/>
        <v>95</v>
      </c>
      <c r="CV65">
        <f t="shared" si="76"/>
        <v>95</v>
      </c>
      <c r="CW65">
        <f t="shared" si="77"/>
        <v>85</v>
      </c>
      <c r="CX65">
        <f t="shared" si="78"/>
        <v>90</v>
      </c>
      <c r="CY65">
        <f t="shared" si="79"/>
        <v>95</v>
      </c>
      <c r="CZ65" s="97"/>
    </row>
    <row r="66" spans="1:108" ht="16" x14ac:dyDescent="0.2">
      <c r="A66" s="44" t="s">
        <v>163</v>
      </c>
      <c r="B66">
        <v>307951</v>
      </c>
      <c r="E66" t="s">
        <v>147</v>
      </c>
      <c r="F66" s="21">
        <v>45912</v>
      </c>
      <c r="G66" s="21"/>
      <c r="H66" s="21"/>
      <c r="I66" s="21"/>
      <c r="J66" s="21"/>
      <c r="O66" s="2"/>
      <c r="P66" s="339">
        <v>1</v>
      </c>
      <c r="Q66" s="299">
        <v>0</v>
      </c>
      <c r="R66" s="299">
        <v>0</v>
      </c>
      <c r="S66" s="299">
        <v>0</v>
      </c>
      <c r="T66" s="299">
        <v>0</v>
      </c>
      <c r="U66" s="299"/>
      <c r="V66" s="2"/>
      <c r="W66" s="11">
        <v>5</v>
      </c>
      <c r="X66" s="11">
        <v>0</v>
      </c>
      <c r="Y66" s="11">
        <v>5</v>
      </c>
      <c r="Z66" s="11">
        <v>5</v>
      </c>
      <c r="AA66" s="11">
        <v>5</v>
      </c>
      <c r="AB66" s="11">
        <v>5</v>
      </c>
      <c r="AC66" s="11">
        <v>0</v>
      </c>
      <c r="AD66" s="11">
        <v>5</v>
      </c>
      <c r="AE66" s="55">
        <f t="shared" si="64"/>
        <v>3.75</v>
      </c>
      <c r="AF66" s="4" t="s">
        <v>41</v>
      </c>
      <c r="AG66" s="2"/>
      <c r="AH66">
        <v>10</v>
      </c>
      <c r="AI66">
        <v>5</v>
      </c>
      <c r="AJ66">
        <v>5</v>
      </c>
      <c r="AK66">
        <v>5</v>
      </c>
      <c r="AL66">
        <v>15</v>
      </c>
      <c r="AM66">
        <v>10</v>
      </c>
      <c r="AN66">
        <v>5</v>
      </c>
      <c r="AO66">
        <v>0</v>
      </c>
      <c r="AP66" s="55">
        <f t="shared" si="65"/>
        <v>6.25</v>
      </c>
      <c r="AQ66" s="4" t="s">
        <v>41</v>
      </c>
      <c r="AR66" s="2"/>
      <c r="AS66">
        <v>0</v>
      </c>
      <c r="AT66">
        <v>5</v>
      </c>
      <c r="AU66" s="3"/>
      <c r="AV66" s="63">
        <v>100</v>
      </c>
      <c r="AW66" s="63">
        <v>40</v>
      </c>
      <c r="AX66" s="64">
        <v>100</v>
      </c>
      <c r="AY66" s="64">
        <v>45</v>
      </c>
      <c r="AZ66" s="3"/>
      <c r="BA66" s="11">
        <v>5</v>
      </c>
      <c r="BB66" s="11">
        <v>-5</v>
      </c>
      <c r="BC66" s="50">
        <v>5</v>
      </c>
      <c r="BD66" s="50">
        <v>20</v>
      </c>
      <c r="BE66" s="3"/>
      <c r="BF66" s="11">
        <v>10</v>
      </c>
      <c r="BG66" s="11">
        <v>0</v>
      </c>
      <c r="BH66" s="50">
        <v>10</v>
      </c>
      <c r="BI66" s="50">
        <v>20</v>
      </c>
      <c r="BJ66" s="3"/>
      <c r="BK66" s="11">
        <v>100</v>
      </c>
      <c r="BL66" s="11">
        <v>100</v>
      </c>
      <c r="BM66" s="11">
        <v>95</v>
      </c>
      <c r="BN66" s="11">
        <v>90</v>
      </c>
      <c r="BO66" s="11">
        <v>85</v>
      </c>
      <c r="BP66" s="50">
        <v>85</v>
      </c>
      <c r="BQ66" s="71">
        <f t="shared" si="66"/>
        <v>92.5</v>
      </c>
      <c r="BR66" s="3"/>
      <c r="BS66" s="11">
        <v>100</v>
      </c>
      <c r="BT66" s="11">
        <v>100</v>
      </c>
      <c r="BU66" s="11">
        <v>100</v>
      </c>
      <c r="BV66" s="11">
        <v>100</v>
      </c>
      <c r="BW66" s="11">
        <v>100</v>
      </c>
      <c r="BX66" s="22">
        <v>105</v>
      </c>
      <c r="BY66" s="71">
        <f t="shared" si="67"/>
        <v>100.83333333333333</v>
      </c>
      <c r="BZ66" s="3"/>
      <c r="CA66" s="433" t="s">
        <v>280</v>
      </c>
      <c r="CB66" s="433"/>
      <c r="CC66" s="433"/>
      <c r="CD66" s="433"/>
      <c r="CE66" s="326"/>
      <c r="CF66" s="326"/>
      <c r="CG66" s="3"/>
      <c r="CH66" t="s">
        <v>281</v>
      </c>
      <c r="CI66" t="s">
        <v>281</v>
      </c>
      <c r="CJ66" s="97"/>
      <c r="CK66" s="71">
        <v>92.5</v>
      </c>
      <c r="CL66" s="97"/>
      <c r="CM66">
        <f t="shared" si="68"/>
        <v>95</v>
      </c>
      <c r="CN66">
        <f t="shared" si="69"/>
        <v>100</v>
      </c>
      <c r="CO66">
        <f t="shared" si="70"/>
        <v>90</v>
      </c>
      <c r="CP66">
        <f t="shared" si="71"/>
        <v>85</v>
      </c>
      <c r="CQ66">
        <f t="shared" si="72"/>
        <v>80</v>
      </c>
      <c r="CR66">
        <f t="shared" si="73"/>
        <v>80</v>
      </c>
      <c r="CS66" s="97"/>
      <c r="CT66">
        <f t="shared" si="74"/>
        <v>90</v>
      </c>
      <c r="CU66">
        <f t="shared" si="75"/>
        <v>95</v>
      </c>
      <c r="CV66">
        <f t="shared" si="76"/>
        <v>95</v>
      </c>
      <c r="CW66">
        <f t="shared" si="77"/>
        <v>95</v>
      </c>
      <c r="CX66">
        <f t="shared" si="78"/>
        <v>90</v>
      </c>
      <c r="CY66">
        <f t="shared" si="79"/>
        <v>105</v>
      </c>
      <c r="CZ66" s="97"/>
    </row>
    <row r="67" spans="1:108" ht="16" x14ac:dyDescent="0.2">
      <c r="A67" s="44" t="s">
        <v>228</v>
      </c>
      <c r="B67">
        <v>37307</v>
      </c>
      <c r="E67" t="s">
        <v>229</v>
      </c>
      <c r="F67" s="21">
        <v>46196</v>
      </c>
      <c r="J67" t="s">
        <v>313</v>
      </c>
      <c r="M67" s="4">
        <v>0</v>
      </c>
      <c r="N67" s="4"/>
      <c r="O67" s="2"/>
      <c r="P67">
        <v>1</v>
      </c>
      <c r="Q67" s="340">
        <v>0</v>
      </c>
      <c r="R67">
        <v>0</v>
      </c>
      <c r="S67">
        <v>0</v>
      </c>
      <c r="T67">
        <v>0</v>
      </c>
      <c r="V67" s="2"/>
      <c r="W67">
        <v>5</v>
      </c>
      <c r="X67">
        <v>10</v>
      </c>
      <c r="Y67">
        <v>0</v>
      </c>
      <c r="Z67">
        <v>0</v>
      </c>
      <c r="AA67">
        <v>0</v>
      </c>
      <c r="AB67">
        <v>-5</v>
      </c>
      <c r="AC67">
        <v>5</v>
      </c>
      <c r="AD67">
        <v>5</v>
      </c>
      <c r="AE67" s="70">
        <f t="shared" si="64"/>
        <v>1.25</v>
      </c>
      <c r="AF67" s="4" t="s">
        <v>41</v>
      </c>
      <c r="AG67" s="2"/>
      <c r="AH67">
        <v>0</v>
      </c>
      <c r="AI67">
        <v>5</v>
      </c>
      <c r="AJ67">
        <v>0</v>
      </c>
      <c r="AK67">
        <v>-5</v>
      </c>
      <c r="AL67">
        <v>5</v>
      </c>
      <c r="AM67">
        <v>5</v>
      </c>
      <c r="AN67">
        <v>0</v>
      </c>
      <c r="AO67">
        <v>0</v>
      </c>
      <c r="AP67" s="70">
        <f t="shared" si="65"/>
        <v>1.25</v>
      </c>
      <c r="AQ67" s="4" t="s">
        <v>41</v>
      </c>
      <c r="AR67" s="2"/>
      <c r="AS67">
        <v>5</v>
      </c>
      <c r="AT67">
        <v>5</v>
      </c>
      <c r="AU67" s="3"/>
      <c r="AV67" s="400">
        <v>92</v>
      </c>
      <c r="AW67" s="400">
        <v>45</v>
      </c>
      <c r="AX67" s="342">
        <v>92</v>
      </c>
      <c r="AY67" s="342">
        <v>45</v>
      </c>
      <c r="AZ67" s="3"/>
      <c r="BA67" s="4" t="s">
        <v>286</v>
      </c>
      <c r="BB67" s="4" t="s">
        <v>286</v>
      </c>
      <c r="BC67" s="4" t="s">
        <v>286</v>
      </c>
      <c r="BD67" s="4" t="s">
        <v>286</v>
      </c>
      <c r="BE67" s="3"/>
      <c r="BF67" s="4" t="s">
        <v>286</v>
      </c>
      <c r="BG67" s="4" t="s">
        <v>286</v>
      </c>
      <c r="BH67" s="4" t="s">
        <v>286</v>
      </c>
      <c r="BI67" s="4" t="s">
        <v>286</v>
      </c>
      <c r="BJ67" s="3"/>
      <c r="BK67">
        <v>100</v>
      </c>
      <c r="BL67">
        <v>100</v>
      </c>
      <c r="BM67">
        <v>100</v>
      </c>
      <c r="BN67">
        <v>95</v>
      </c>
      <c r="BO67">
        <v>90</v>
      </c>
      <c r="BP67">
        <v>85</v>
      </c>
      <c r="BQ67" s="70">
        <f t="shared" si="66"/>
        <v>95</v>
      </c>
      <c r="BR67" s="3"/>
      <c r="BS67">
        <v>100</v>
      </c>
      <c r="BT67">
        <v>95</v>
      </c>
      <c r="BU67">
        <v>100</v>
      </c>
      <c r="BV67">
        <v>90</v>
      </c>
      <c r="BW67">
        <v>95</v>
      </c>
      <c r="BX67">
        <v>85</v>
      </c>
      <c r="BY67" s="70">
        <f t="shared" si="67"/>
        <v>94.166666666666671</v>
      </c>
      <c r="BZ67" s="3"/>
      <c r="CA67" s="433" t="s">
        <v>280</v>
      </c>
      <c r="CB67" s="433"/>
      <c r="CC67" s="433"/>
      <c r="CD67" s="433"/>
      <c r="CE67" s="326"/>
      <c r="CF67" s="326"/>
      <c r="CG67" s="3"/>
      <c r="CH67" t="s">
        <v>281</v>
      </c>
      <c r="CI67" t="s">
        <v>281</v>
      </c>
      <c r="CJ67" s="97"/>
      <c r="CK67" s="70">
        <v>94.166666666666671</v>
      </c>
      <c r="CL67" s="97"/>
      <c r="CM67">
        <f t="shared" si="68"/>
        <v>95</v>
      </c>
      <c r="CN67">
        <f t="shared" si="69"/>
        <v>90</v>
      </c>
      <c r="CO67">
        <f t="shared" si="70"/>
        <v>100</v>
      </c>
      <c r="CP67">
        <f t="shared" si="71"/>
        <v>95</v>
      </c>
      <c r="CQ67">
        <f t="shared" si="72"/>
        <v>95</v>
      </c>
      <c r="CR67">
        <f t="shared" si="73"/>
        <v>80</v>
      </c>
      <c r="CS67" s="97"/>
      <c r="CT67">
        <f t="shared" si="74"/>
        <v>100</v>
      </c>
      <c r="CU67">
        <f t="shared" si="75"/>
        <v>90</v>
      </c>
      <c r="CV67">
        <f t="shared" si="76"/>
        <v>100</v>
      </c>
      <c r="CW67">
        <f t="shared" si="77"/>
        <v>95</v>
      </c>
      <c r="CX67">
        <f t="shared" si="78"/>
        <v>90</v>
      </c>
      <c r="CY67">
        <f t="shared" si="79"/>
        <v>85</v>
      </c>
      <c r="CZ67" s="97"/>
    </row>
    <row r="68" spans="1:108" ht="16" x14ac:dyDescent="0.2">
      <c r="A68" s="44" t="s">
        <v>230</v>
      </c>
      <c r="B68">
        <v>692093</v>
      </c>
      <c r="E68" t="s">
        <v>231</v>
      </c>
      <c r="F68" s="21">
        <v>46198</v>
      </c>
      <c r="M68" s="4">
        <v>0</v>
      </c>
      <c r="N68" s="4"/>
      <c r="O68" s="2"/>
      <c r="P68">
        <v>1</v>
      </c>
      <c r="Q68">
        <v>0</v>
      </c>
      <c r="R68">
        <v>0</v>
      </c>
      <c r="S68">
        <v>0</v>
      </c>
      <c r="T68">
        <v>0</v>
      </c>
      <c r="V68" s="2"/>
      <c r="W68">
        <v>10</v>
      </c>
      <c r="X68">
        <v>10</v>
      </c>
      <c r="Y68">
        <v>10</v>
      </c>
      <c r="Z68">
        <v>5</v>
      </c>
      <c r="AA68">
        <v>10</v>
      </c>
      <c r="AB68">
        <v>5</v>
      </c>
      <c r="AC68">
        <v>5</v>
      </c>
      <c r="AD68">
        <v>5</v>
      </c>
      <c r="AE68" s="70">
        <f t="shared" si="64"/>
        <v>7.5</v>
      </c>
      <c r="AF68" s="4" t="s">
        <v>41</v>
      </c>
      <c r="AG68" s="2"/>
      <c r="AH68">
        <v>10</v>
      </c>
      <c r="AI68">
        <v>10</v>
      </c>
      <c r="AJ68">
        <v>10</v>
      </c>
      <c r="AK68">
        <v>0</v>
      </c>
      <c r="AL68">
        <v>5</v>
      </c>
      <c r="AM68">
        <v>5</v>
      </c>
      <c r="AN68">
        <v>0</v>
      </c>
      <c r="AO68">
        <v>0</v>
      </c>
      <c r="AP68" s="70">
        <f t="shared" si="65"/>
        <v>6.25</v>
      </c>
      <c r="AQ68" s="4" t="s">
        <v>41</v>
      </c>
      <c r="AR68" s="2"/>
      <c r="AS68">
        <v>5</v>
      </c>
      <c r="AT68">
        <v>5</v>
      </c>
      <c r="AU68" s="3"/>
      <c r="AV68" s="400">
        <v>92</v>
      </c>
      <c r="AW68" s="400">
        <v>45</v>
      </c>
      <c r="AX68" s="342">
        <v>96</v>
      </c>
      <c r="AY68" s="342">
        <v>45</v>
      </c>
      <c r="AZ68" s="3"/>
      <c r="BA68" s="4" t="s">
        <v>286</v>
      </c>
      <c r="BB68" s="4" t="s">
        <v>286</v>
      </c>
      <c r="BC68" s="4" t="s">
        <v>286</v>
      </c>
      <c r="BD68" s="4" t="s">
        <v>286</v>
      </c>
      <c r="BE68" s="3"/>
      <c r="BF68" s="4" t="s">
        <v>286</v>
      </c>
      <c r="BG68" s="4" t="s">
        <v>286</v>
      </c>
      <c r="BH68" s="4" t="s">
        <v>286</v>
      </c>
      <c r="BI68" s="4" t="s">
        <v>286</v>
      </c>
      <c r="BJ68" s="3"/>
      <c r="BK68">
        <v>85</v>
      </c>
      <c r="BL68">
        <v>80</v>
      </c>
      <c r="BM68">
        <v>100</v>
      </c>
      <c r="BN68">
        <v>85</v>
      </c>
      <c r="BO68">
        <v>85</v>
      </c>
      <c r="BP68" s="225">
        <v>75</v>
      </c>
      <c r="BQ68" s="70">
        <f t="shared" si="66"/>
        <v>85</v>
      </c>
      <c r="BR68" s="3"/>
      <c r="BS68">
        <v>80</v>
      </c>
      <c r="BT68">
        <v>80</v>
      </c>
      <c r="BU68">
        <v>95</v>
      </c>
      <c r="BV68">
        <v>95</v>
      </c>
      <c r="BW68">
        <v>95</v>
      </c>
      <c r="BX68" s="225">
        <v>70</v>
      </c>
      <c r="BY68" s="70">
        <f t="shared" si="67"/>
        <v>85.833333333333329</v>
      </c>
      <c r="BZ68" s="3"/>
      <c r="CA68" s="433" t="s">
        <v>280</v>
      </c>
      <c r="CB68" s="433"/>
      <c r="CC68" s="433"/>
      <c r="CD68" s="433"/>
      <c r="CE68" s="326"/>
      <c r="CF68" s="326"/>
      <c r="CG68" s="3"/>
      <c r="CH68" t="s">
        <v>281</v>
      </c>
      <c r="CI68" t="s">
        <v>281</v>
      </c>
      <c r="CJ68" s="97"/>
      <c r="CK68" s="70">
        <v>85</v>
      </c>
      <c r="CL68" s="97"/>
      <c r="CM68">
        <f t="shared" si="68"/>
        <v>75</v>
      </c>
      <c r="CN68">
        <f t="shared" si="69"/>
        <v>70</v>
      </c>
      <c r="CO68">
        <f t="shared" si="70"/>
        <v>90</v>
      </c>
      <c r="CP68">
        <f t="shared" si="71"/>
        <v>80</v>
      </c>
      <c r="CQ68">
        <f t="shared" si="72"/>
        <v>80</v>
      </c>
      <c r="CR68">
        <f t="shared" si="73"/>
        <v>70</v>
      </c>
      <c r="CS68" s="97"/>
      <c r="CT68">
        <f t="shared" si="74"/>
        <v>70</v>
      </c>
      <c r="CU68">
        <f t="shared" si="75"/>
        <v>70</v>
      </c>
      <c r="CV68">
        <f t="shared" si="76"/>
        <v>85</v>
      </c>
      <c r="CW68">
        <f t="shared" si="77"/>
        <v>95</v>
      </c>
      <c r="CX68">
        <f t="shared" si="78"/>
        <v>90</v>
      </c>
      <c r="CY68">
        <f t="shared" si="79"/>
        <v>70</v>
      </c>
      <c r="CZ68" s="97"/>
    </row>
    <row r="69" spans="1:108" ht="15.75" customHeight="1" x14ac:dyDescent="0.2">
      <c r="A69" s="44" t="s">
        <v>232</v>
      </c>
      <c r="B69">
        <v>722676</v>
      </c>
      <c r="E69" t="s">
        <v>233</v>
      </c>
      <c r="F69" s="21">
        <v>46060</v>
      </c>
      <c r="M69" s="4">
        <v>1</v>
      </c>
      <c r="N69" s="4"/>
      <c r="O69" s="2"/>
      <c r="P69">
        <v>1</v>
      </c>
      <c r="Q69">
        <v>0</v>
      </c>
      <c r="R69">
        <v>0</v>
      </c>
      <c r="S69">
        <v>0</v>
      </c>
      <c r="T69">
        <v>0</v>
      </c>
      <c r="V69" s="2"/>
      <c r="W69">
        <v>5</v>
      </c>
      <c r="X69">
        <v>10</v>
      </c>
      <c r="Y69">
        <v>0</v>
      </c>
      <c r="Z69">
        <v>5</v>
      </c>
      <c r="AA69">
        <v>5</v>
      </c>
      <c r="AB69">
        <v>-5</v>
      </c>
      <c r="AC69">
        <v>0</v>
      </c>
      <c r="AD69">
        <v>5</v>
      </c>
      <c r="AE69" s="70">
        <f t="shared" si="64"/>
        <v>2.5</v>
      </c>
      <c r="AF69" s="4" t="s">
        <v>41</v>
      </c>
      <c r="AG69" s="2"/>
      <c r="AH69">
        <v>5</v>
      </c>
      <c r="AI69">
        <v>10</v>
      </c>
      <c r="AJ69">
        <v>5</v>
      </c>
      <c r="AK69">
        <v>-5</v>
      </c>
      <c r="AL69">
        <v>5</v>
      </c>
      <c r="AM69">
        <v>0</v>
      </c>
      <c r="AN69">
        <v>-5</v>
      </c>
      <c r="AO69">
        <v>10</v>
      </c>
      <c r="AP69" s="70">
        <f t="shared" si="65"/>
        <v>2.5</v>
      </c>
      <c r="AQ69" s="4" t="s">
        <v>41</v>
      </c>
      <c r="AR69" s="2"/>
      <c r="AS69">
        <v>5</v>
      </c>
      <c r="AT69">
        <v>5</v>
      </c>
      <c r="AU69" s="3"/>
      <c r="AV69" s="400">
        <v>92</v>
      </c>
      <c r="AW69" s="400">
        <v>45</v>
      </c>
      <c r="AX69" s="342">
        <v>100</v>
      </c>
      <c r="AY69" s="342">
        <v>45</v>
      </c>
      <c r="AZ69" s="3"/>
      <c r="BA69" s="4" t="s">
        <v>286</v>
      </c>
      <c r="BB69" s="4" t="s">
        <v>286</v>
      </c>
      <c r="BC69" s="4" t="s">
        <v>286</v>
      </c>
      <c r="BD69" s="4" t="s">
        <v>286</v>
      </c>
      <c r="BE69" s="3"/>
      <c r="BF69" s="4" t="s">
        <v>286</v>
      </c>
      <c r="BG69" s="4" t="s">
        <v>286</v>
      </c>
      <c r="BH69" s="4" t="s">
        <v>286</v>
      </c>
      <c r="BI69" s="4" t="s">
        <v>286</v>
      </c>
      <c r="BJ69" s="3"/>
      <c r="BK69">
        <v>100</v>
      </c>
      <c r="BL69">
        <v>100</v>
      </c>
      <c r="BM69">
        <v>100</v>
      </c>
      <c r="BN69">
        <v>100</v>
      </c>
      <c r="BO69">
        <v>100</v>
      </c>
      <c r="BP69">
        <v>100</v>
      </c>
      <c r="BQ69" s="70">
        <f t="shared" si="66"/>
        <v>100</v>
      </c>
      <c r="BR69" s="3"/>
      <c r="BS69">
        <v>100</v>
      </c>
      <c r="BT69">
        <v>100</v>
      </c>
      <c r="BU69">
        <v>100</v>
      </c>
      <c r="BV69">
        <v>100</v>
      </c>
      <c r="BW69">
        <v>100</v>
      </c>
      <c r="BX69">
        <v>100</v>
      </c>
      <c r="BY69" s="70">
        <f t="shared" si="67"/>
        <v>100</v>
      </c>
      <c r="BZ69" s="3"/>
      <c r="CA69" s="433" t="s">
        <v>280</v>
      </c>
      <c r="CB69" s="433"/>
      <c r="CC69" s="433"/>
      <c r="CD69" s="433"/>
      <c r="CE69" s="326"/>
      <c r="CF69" s="326"/>
      <c r="CG69" s="3"/>
      <c r="CH69" t="s">
        <v>281</v>
      </c>
      <c r="CI69" t="s">
        <v>281</v>
      </c>
      <c r="CJ69" s="97"/>
      <c r="CK69" s="70">
        <v>100</v>
      </c>
      <c r="CL69" s="97"/>
      <c r="CM69">
        <f t="shared" si="68"/>
        <v>95</v>
      </c>
      <c r="CN69">
        <f t="shared" si="69"/>
        <v>90</v>
      </c>
      <c r="CO69">
        <f t="shared" si="70"/>
        <v>100</v>
      </c>
      <c r="CP69">
        <f t="shared" si="71"/>
        <v>95</v>
      </c>
      <c r="CQ69">
        <f t="shared" si="72"/>
        <v>105</v>
      </c>
      <c r="CR69">
        <f t="shared" si="73"/>
        <v>95</v>
      </c>
      <c r="CS69" s="97"/>
      <c r="CT69">
        <f t="shared" si="74"/>
        <v>95</v>
      </c>
      <c r="CU69">
        <f t="shared" si="75"/>
        <v>90</v>
      </c>
      <c r="CV69">
        <f t="shared" si="76"/>
        <v>95</v>
      </c>
      <c r="CW69">
        <f t="shared" si="77"/>
        <v>105</v>
      </c>
      <c r="CX69">
        <f t="shared" si="78"/>
        <v>100</v>
      </c>
      <c r="CY69">
        <f t="shared" si="79"/>
        <v>90</v>
      </c>
      <c r="CZ69" s="97"/>
    </row>
    <row r="70" spans="1:108" ht="16" x14ac:dyDescent="0.2">
      <c r="A70" s="44"/>
      <c r="F70" s="21"/>
      <c r="G70" s="21"/>
      <c r="H70" s="21"/>
      <c r="I70" s="21"/>
      <c r="J70" s="21"/>
      <c r="O70" s="2"/>
      <c r="P70" s="102"/>
      <c r="Q70" s="101"/>
      <c r="R70" s="101"/>
      <c r="S70" s="101"/>
      <c r="T70" s="101"/>
      <c r="U70" s="101"/>
      <c r="V70" s="2"/>
      <c r="AE70" s="105"/>
      <c r="AF70" s="4"/>
      <c r="AG70" s="2"/>
      <c r="AP70" s="105"/>
      <c r="AQ70" s="4"/>
      <c r="AR70" s="2"/>
      <c r="AU70" s="3"/>
      <c r="AV70" s="63"/>
      <c r="AW70" s="63"/>
      <c r="AX70" s="64"/>
      <c r="AY70" s="64"/>
      <c r="AZ70" s="3"/>
      <c r="BA70" s="11"/>
      <c r="BB70" s="11"/>
      <c r="BC70" s="49"/>
      <c r="BD70" s="49"/>
      <c r="BE70" s="3"/>
      <c r="BF70" s="11"/>
      <c r="BG70" s="11"/>
      <c r="BH70" s="49"/>
      <c r="BI70" s="49"/>
      <c r="BJ70" s="3"/>
      <c r="BK70" s="11"/>
      <c r="BL70" s="11"/>
      <c r="BM70" s="11"/>
      <c r="BN70" s="11"/>
      <c r="BO70" s="11"/>
      <c r="BP70" s="49"/>
      <c r="BQ70" s="71"/>
      <c r="BR70" s="3"/>
      <c r="BX70" s="30"/>
      <c r="BY70" s="71"/>
      <c r="BZ70" s="3"/>
      <c r="CA70" s="98"/>
      <c r="CB70" s="98"/>
      <c r="CC70" s="98"/>
      <c r="CD70" s="98"/>
      <c r="CE70" s="98"/>
      <c r="CF70" s="98"/>
      <c r="CG70" s="3"/>
      <c r="CJ70" s="97"/>
      <c r="CL70" s="97"/>
      <c r="CS70" s="97"/>
      <c r="CZ70" s="97"/>
    </row>
    <row r="71" spans="1:108" ht="16" x14ac:dyDescent="0.2">
      <c r="A71" s="44"/>
      <c r="F71" s="21"/>
      <c r="G71" s="21"/>
      <c r="H71" s="21"/>
      <c r="I71" s="21"/>
      <c r="J71" s="21"/>
      <c r="O71" s="2"/>
      <c r="P71" s="102"/>
      <c r="Q71" s="101"/>
      <c r="R71" s="101"/>
      <c r="S71" s="101"/>
      <c r="T71" s="101"/>
      <c r="U71" s="101"/>
      <c r="V71" s="2"/>
      <c r="AE71" s="105"/>
      <c r="AF71" s="4"/>
      <c r="AG71" s="2"/>
      <c r="AP71" s="105"/>
      <c r="AQ71" s="4"/>
      <c r="AR71" s="2"/>
      <c r="AU71" s="3"/>
      <c r="AV71" s="63"/>
      <c r="AW71" s="63"/>
      <c r="AX71" s="64"/>
      <c r="AY71" s="64"/>
      <c r="AZ71" s="3"/>
      <c r="BA71" s="11"/>
      <c r="BB71" s="11"/>
      <c r="BC71" s="49"/>
      <c r="BD71" s="49"/>
      <c r="BE71" s="3"/>
      <c r="BF71" s="11"/>
      <c r="BG71" s="11"/>
      <c r="BH71" s="49"/>
      <c r="BI71" s="49"/>
      <c r="BJ71" s="3"/>
      <c r="BK71" s="11"/>
      <c r="BL71" s="11"/>
      <c r="BM71" s="11"/>
      <c r="BN71" s="11"/>
      <c r="BO71" s="11"/>
      <c r="BP71" s="49"/>
      <c r="BQ71" s="71"/>
      <c r="BR71" s="3"/>
      <c r="BX71" s="30"/>
      <c r="BY71" s="71"/>
      <c r="BZ71" s="3"/>
      <c r="CA71" s="98"/>
      <c r="CB71" s="98"/>
      <c r="CC71" s="98"/>
      <c r="CD71" s="98"/>
      <c r="CE71" s="98"/>
      <c r="CF71" s="98"/>
      <c r="CG71" s="3"/>
      <c r="CJ71" s="97"/>
      <c r="CL71" s="97"/>
      <c r="CS71" s="97"/>
      <c r="CZ71" s="97"/>
    </row>
    <row r="72" spans="1:108" ht="16" x14ac:dyDescent="0.2">
      <c r="O72" s="2"/>
      <c r="P72" s="1"/>
      <c r="Q72" s="1"/>
      <c r="R72" s="1"/>
      <c r="S72" s="1"/>
      <c r="T72" s="1"/>
      <c r="U72" s="1"/>
      <c r="V72" s="2"/>
      <c r="AG72" s="2"/>
      <c r="AR72" s="2"/>
      <c r="AU72" s="3"/>
      <c r="AZ72" s="3"/>
      <c r="BE72" s="3"/>
      <c r="BJ72" s="3"/>
      <c r="BR72" s="3"/>
      <c r="BZ72" s="3"/>
      <c r="CG72" s="3"/>
      <c r="CJ72" s="97"/>
      <c r="CL72" s="97"/>
      <c r="CS72" s="97"/>
      <c r="CZ72" s="97"/>
    </row>
    <row r="73" spans="1:108" ht="16" x14ac:dyDescent="0.2">
      <c r="J73" s="20" t="s">
        <v>314</v>
      </c>
      <c r="K73">
        <f>COUNT(B49:B66)</f>
        <v>18</v>
      </c>
      <c r="O73" s="2" t="s">
        <v>309</v>
      </c>
      <c r="P73" s="1">
        <f>COUNTIF(P49:P72,1)</f>
        <v>21</v>
      </c>
      <c r="Q73" s="1">
        <f t="shared" ref="Q73:T73" si="80">COUNTIF(Q49:Q72,1)</f>
        <v>0</v>
      </c>
      <c r="R73" s="1">
        <f t="shared" si="80"/>
        <v>0</v>
      </c>
      <c r="S73" s="1">
        <f t="shared" si="80"/>
        <v>0</v>
      </c>
      <c r="T73" s="1">
        <f t="shared" si="80"/>
        <v>0</v>
      </c>
      <c r="U73" s="1"/>
      <c r="V73" s="2"/>
      <c r="AG73" s="2"/>
      <c r="AR73" s="2"/>
      <c r="AU73" s="3"/>
      <c r="AZ73" s="3"/>
      <c r="BE73" s="3"/>
      <c r="BJ73" s="3"/>
      <c r="BR73" s="3"/>
      <c r="BZ73" s="3"/>
      <c r="CG73" s="3"/>
      <c r="CJ73" s="97"/>
      <c r="CL73" s="97"/>
      <c r="CS73" s="97"/>
      <c r="CZ73" s="97"/>
    </row>
    <row r="74" spans="1:108" ht="16" x14ac:dyDescent="0.2">
      <c r="O74" s="2"/>
      <c r="P74" s="1"/>
      <c r="Q74" s="1"/>
      <c r="R74" s="1"/>
      <c r="S74" s="1"/>
      <c r="T74" s="1"/>
      <c r="U74" s="1"/>
      <c r="V74" s="2"/>
      <c r="AG74" s="2"/>
      <c r="AR74" s="2"/>
      <c r="AU74" s="3"/>
      <c r="AZ74" s="3"/>
      <c r="BE74" s="3"/>
      <c r="BJ74" s="3"/>
      <c r="BR74" s="3"/>
      <c r="BZ74" s="3"/>
      <c r="CG74" s="3"/>
      <c r="CJ74" s="97"/>
      <c r="CL74" s="97"/>
      <c r="CS74" s="97"/>
      <c r="CZ74" s="97"/>
    </row>
    <row r="75" spans="1:108" ht="16" x14ac:dyDescent="0.2">
      <c r="O75" s="2"/>
      <c r="P75" s="1"/>
      <c r="Q75" s="1"/>
      <c r="R75" s="1"/>
      <c r="S75" s="1"/>
      <c r="T75" s="1"/>
      <c r="U75" s="1"/>
      <c r="V75" s="2"/>
      <c r="AG75" s="2"/>
      <c r="AR75" s="2"/>
      <c r="AU75" s="3"/>
      <c r="AZ75" s="3"/>
      <c r="BE75" s="3"/>
      <c r="BJ75" s="3"/>
      <c r="BR75" s="3"/>
      <c r="BZ75" s="3"/>
      <c r="CG75" s="3"/>
      <c r="CJ75" s="97"/>
      <c r="CL75" s="97"/>
      <c r="CS75" s="97"/>
      <c r="CZ75" s="97"/>
    </row>
    <row r="76" spans="1:108" s="413" customFormat="1" ht="16.5" customHeight="1" x14ac:dyDescent="0.2">
      <c r="A76" s="413" t="s">
        <v>315</v>
      </c>
      <c r="AK76" s="431"/>
      <c r="AL76" s="431"/>
      <c r="AM76" s="431"/>
      <c r="AN76" s="414"/>
      <c r="AO76" s="414"/>
      <c r="AP76" s="414"/>
      <c r="AQ76" s="414"/>
      <c r="AU76" s="415"/>
      <c r="AZ76" s="415"/>
      <c r="BE76" s="415"/>
      <c r="BJ76" s="415"/>
      <c r="BM76" s="415"/>
      <c r="BP76" s="415"/>
      <c r="BR76" s="415"/>
      <c r="BW76" s="415"/>
      <c r="BZ76" s="415"/>
      <c r="CB76" s="415"/>
      <c r="CG76" s="415"/>
      <c r="CI76" s="415"/>
      <c r="CQ76" s="415"/>
      <c r="CY76" s="415"/>
      <c r="DD76" s="415"/>
    </row>
    <row r="77" spans="1:108" s="97" customFormat="1" ht="16.5" customHeight="1" x14ac:dyDescent="0.2">
      <c r="O77" s="2"/>
      <c r="V77" s="2"/>
      <c r="AG77" s="2"/>
      <c r="AK77" s="325"/>
      <c r="AL77" s="325"/>
      <c r="AM77" s="325"/>
      <c r="AN77" s="325"/>
      <c r="AO77" s="325"/>
      <c r="AP77" s="325"/>
      <c r="AQ77" s="325"/>
      <c r="AR77" s="2"/>
      <c r="AU77" s="3"/>
      <c r="AZ77" s="3"/>
      <c r="BE77" s="3"/>
      <c r="BJ77" s="3"/>
      <c r="BM77" s="96"/>
      <c r="BP77" s="96"/>
      <c r="BR77" s="3"/>
      <c r="BW77" s="96"/>
      <c r="BZ77" s="3"/>
      <c r="CB77" s="96"/>
      <c r="CG77" s="3"/>
      <c r="CI77" s="96"/>
      <c r="CQ77" s="96"/>
      <c r="CY77" s="96"/>
      <c r="DD77" s="96"/>
    </row>
    <row r="78" spans="1:108" ht="16" x14ac:dyDescent="0.2">
      <c r="F78" s="21"/>
      <c r="G78" s="21"/>
      <c r="H78" s="21"/>
      <c r="I78" s="21"/>
      <c r="O78" s="2"/>
      <c r="P78" s="435" t="s">
        <v>109</v>
      </c>
      <c r="Q78" s="435"/>
      <c r="R78" s="435"/>
      <c r="S78" s="435"/>
      <c r="T78" s="435"/>
      <c r="U78" s="328"/>
      <c r="V78" s="2"/>
      <c r="W78" s="432" t="s">
        <v>237</v>
      </c>
      <c r="X78" s="432"/>
      <c r="Y78" s="432"/>
      <c r="Z78" s="432"/>
      <c r="AA78" s="432"/>
      <c r="AB78" s="432"/>
      <c r="AC78" s="432"/>
      <c r="AD78" s="432"/>
      <c r="AG78" s="2"/>
      <c r="AH78" s="434" t="s">
        <v>238</v>
      </c>
      <c r="AI78" s="434"/>
      <c r="AJ78" s="434"/>
      <c r="AK78" s="434"/>
      <c r="AL78" s="434"/>
      <c r="AM78" s="434"/>
      <c r="AN78" s="434"/>
      <c r="AO78" s="434"/>
      <c r="AR78" s="2"/>
      <c r="AS78" s="427" t="s">
        <v>239</v>
      </c>
      <c r="AT78" s="427"/>
      <c r="AU78" s="3"/>
      <c r="AV78" s="427" t="s">
        <v>311</v>
      </c>
      <c r="AW78" s="427"/>
      <c r="AX78" s="427"/>
      <c r="AY78" s="427"/>
      <c r="AZ78" s="3"/>
      <c r="BA78" s="432" t="s">
        <v>241</v>
      </c>
      <c r="BB78" s="432"/>
      <c r="BC78" s="432"/>
      <c r="BD78" s="432"/>
      <c r="BE78" s="3"/>
      <c r="BF78" s="434" t="s">
        <v>242</v>
      </c>
      <c r="BG78" s="434"/>
      <c r="BH78" s="434"/>
      <c r="BI78" s="434"/>
      <c r="BJ78" s="3"/>
      <c r="BK78" s="432" t="s">
        <v>243</v>
      </c>
      <c r="BL78" s="432"/>
      <c r="BM78" s="432"/>
      <c r="BN78" s="432"/>
      <c r="BO78" s="432"/>
      <c r="BP78" s="432"/>
      <c r="BR78" s="3"/>
      <c r="BS78" s="434" t="s">
        <v>244</v>
      </c>
      <c r="BT78" s="434"/>
      <c r="BU78" s="434"/>
      <c r="BV78" s="434"/>
      <c r="BW78" s="434"/>
      <c r="BX78" s="434"/>
      <c r="BZ78" s="3"/>
      <c r="CA78" s="427" t="s">
        <v>118</v>
      </c>
      <c r="CB78" s="427"/>
      <c r="CC78" s="427"/>
      <c r="CD78" s="427"/>
      <c r="CE78" s="324"/>
      <c r="CF78" s="324"/>
      <c r="CG78" s="3"/>
      <c r="CH78" s="427" t="s">
        <v>245</v>
      </c>
      <c r="CI78" s="427"/>
      <c r="CJ78" s="97"/>
      <c r="CL78" s="97"/>
      <c r="CM78" s="432" t="s">
        <v>246</v>
      </c>
      <c r="CN78" s="432"/>
      <c r="CO78" s="432"/>
      <c r="CP78" s="432"/>
      <c r="CQ78" s="432"/>
      <c r="CR78" s="432"/>
      <c r="CS78" s="97"/>
      <c r="CT78" s="434" t="s">
        <v>247</v>
      </c>
      <c r="CU78" s="434"/>
      <c r="CV78" s="434"/>
      <c r="CW78" s="434"/>
      <c r="CX78" s="434"/>
      <c r="CY78" s="434"/>
      <c r="CZ78" s="97"/>
    </row>
    <row r="79" spans="1:108" ht="16" x14ac:dyDescent="0.2">
      <c r="A79" s="20" t="s">
        <v>82</v>
      </c>
      <c r="B79" s="1" t="s">
        <v>248</v>
      </c>
      <c r="C79" s="1" t="s">
        <v>249</v>
      </c>
      <c r="D79" s="1" t="s">
        <v>250</v>
      </c>
      <c r="E79" s="1" t="s">
        <v>55</v>
      </c>
      <c r="F79" s="1" t="s">
        <v>251</v>
      </c>
      <c r="G79" s="1" t="s">
        <v>252</v>
      </c>
      <c r="H79" s="1" t="s">
        <v>253</v>
      </c>
      <c r="I79" s="1" t="s">
        <v>254</v>
      </c>
      <c r="J79" s="1" t="s">
        <v>255</v>
      </c>
      <c r="K79" s="1" t="s">
        <v>256</v>
      </c>
      <c r="L79" s="1" t="s">
        <v>257</v>
      </c>
      <c r="M79" s="328" t="s">
        <v>258</v>
      </c>
      <c r="N79" s="328" t="s">
        <v>644</v>
      </c>
      <c r="O79" s="2"/>
      <c r="P79" s="1" t="s">
        <v>9</v>
      </c>
      <c r="Q79" s="1" t="s">
        <v>13</v>
      </c>
      <c r="R79" s="1" t="s">
        <v>10</v>
      </c>
      <c r="S79" s="1" t="s">
        <v>11</v>
      </c>
      <c r="T79" s="1" t="s">
        <v>12</v>
      </c>
      <c r="U79" s="1"/>
      <c r="V79" s="2"/>
      <c r="W79" s="1">
        <v>250</v>
      </c>
      <c r="X79" s="1">
        <v>500</v>
      </c>
      <c r="Y79" s="1">
        <v>1000</v>
      </c>
      <c r="Z79" s="1">
        <v>2000</v>
      </c>
      <c r="AA79" s="1">
        <v>3000</v>
      </c>
      <c r="AB79" s="1">
        <v>4000</v>
      </c>
      <c r="AC79" s="1">
        <v>6000</v>
      </c>
      <c r="AD79" s="1">
        <v>8000</v>
      </c>
      <c r="AE79" s="54" t="s">
        <v>259</v>
      </c>
      <c r="AF79" s="53" t="s">
        <v>260</v>
      </c>
      <c r="AG79" s="2"/>
      <c r="AH79" s="1">
        <v>250</v>
      </c>
      <c r="AI79" s="1">
        <v>500</v>
      </c>
      <c r="AJ79" s="1">
        <v>1000</v>
      </c>
      <c r="AK79" s="1">
        <v>2000</v>
      </c>
      <c r="AL79" s="1">
        <v>3000</v>
      </c>
      <c r="AM79" s="1">
        <v>4000</v>
      </c>
      <c r="AN79" s="1">
        <v>6000</v>
      </c>
      <c r="AO79" s="1">
        <v>8000</v>
      </c>
      <c r="AP79" s="59" t="s">
        <v>259</v>
      </c>
      <c r="AQ79" s="58" t="s">
        <v>260</v>
      </c>
      <c r="AR79" s="2"/>
      <c r="AS79" s="6" t="s">
        <v>261</v>
      </c>
      <c r="AT79" s="7" t="s">
        <v>262</v>
      </c>
      <c r="AU79" s="3"/>
      <c r="AV79" s="6" t="s">
        <v>263</v>
      </c>
      <c r="AW79" s="6" t="s">
        <v>264</v>
      </c>
      <c r="AX79" s="7" t="s">
        <v>265</v>
      </c>
      <c r="AY79" s="7" t="s">
        <v>264</v>
      </c>
      <c r="AZ79" s="3"/>
      <c r="BA79" s="1">
        <v>10000</v>
      </c>
      <c r="BB79" s="1">
        <v>12500</v>
      </c>
      <c r="BC79" s="1">
        <v>14000</v>
      </c>
      <c r="BD79" s="1">
        <v>16000</v>
      </c>
      <c r="BE79" s="3"/>
      <c r="BF79" s="1">
        <v>10000</v>
      </c>
      <c r="BG79" s="1">
        <v>12500</v>
      </c>
      <c r="BH79" s="1">
        <v>14000</v>
      </c>
      <c r="BI79" s="1">
        <v>16000</v>
      </c>
      <c r="BJ79" s="3"/>
      <c r="BK79" s="1">
        <v>250</v>
      </c>
      <c r="BL79" s="1">
        <v>500</v>
      </c>
      <c r="BM79" s="1">
        <v>1000</v>
      </c>
      <c r="BN79" s="1">
        <v>2000</v>
      </c>
      <c r="BO79" s="1">
        <v>4000</v>
      </c>
      <c r="BP79" s="1">
        <v>8000</v>
      </c>
      <c r="BQ79" s="8" t="s">
        <v>266</v>
      </c>
      <c r="BR79" s="3"/>
      <c r="BS79" s="1">
        <v>250</v>
      </c>
      <c r="BT79" s="1">
        <v>500</v>
      </c>
      <c r="BU79" s="1">
        <v>1000</v>
      </c>
      <c r="BV79" s="1">
        <v>2000</v>
      </c>
      <c r="BW79" s="1">
        <v>4000</v>
      </c>
      <c r="BX79" s="1">
        <v>8000</v>
      </c>
      <c r="BY79" s="5" t="s">
        <v>266</v>
      </c>
      <c r="BZ79" s="3"/>
      <c r="CA79" s="1" t="s">
        <v>267</v>
      </c>
      <c r="CB79" s="1" t="s">
        <v>268</v>
      </c>
      <c r="CC79" s="1" t="s">
        <v>269</v>
      </c>
      <c r="CD79" s="1" t="s">
        <v>270</v>
      </c>
      <c r="CE79" s="1"/>
      <c r="CF79" s="1"/>
      <c r="CG79" s="3"/>
      <c r="CH79" s="329" t="s">
        <v>273</v>
      </c>
      <c r="CI79" s="330" t="s">
        <v>274</v>
      </c>
      <c r="CJ79" s="97"/>
      <c r="CK79" s="20" t="s">
        <v>312</v>
      </c>
      <c r="CL79" s="97"/>
      <c r="CM79" s="1">
        <v>250</v>
      </c>
      <c r="CN79" s="1">
        <v>500</v>
      </c>
      <c r="CO79" s="1">
        <v>1000</v>
      </c>
      <c r="CP79" s="1">
        <v>2000</v>
      </c>
      <c r="CQ79" s="1">
        <v>4000</v>
      </c>
      <c r="CR79" s="1">
        <v>8000</v>
      </c>
      <c r="CS79" s="97"/>
      <c r="CT79" s="1">
        <v>250</v>
      </c>
      <c r="CU79" s="1">
        <v>500</v>
      </c>
      <c r="CV79" s="1">
        <v>1000</v>
      </c>
      <c r="CW79" s="1">
        <v>2000</v>
      </c>
      <c r="CX79" s="1">
        <v>4000</v>
      </c>
      <c r="CY79" s="1">
        <v>8000</v>
      </c>
      <c r="CZ79" s="97"/>
    </row>
    <row r="86" spans="15:104" ht="15.75" customHeight="1" x14ac:dyDescent="0.2">
      <c r="O86" s="2"/>
      <c r="V86" s="2"/>
      <c r="AR86" s="2"/>
      <c r="AU86" s="3"/>
      <c r="AZ86" s="3"/>
      <c r="BE86" s="3"/>
      <c r="BJ86" s="3"/>
      <c r="BR86" s="3"/>
      <c r="BZ86" s="3"/>
      <c r="CG86" s="3"/>
      <c r="CJ86" s="97"/>
      <c r="CL86" s="97"/>
      <c r="CS86" s="97"/>
      <c r="CZ86" s="97"/>
    </row>
    <row r="87" spans="15:104" ht="15.75" customHeight="1" x14ac:dyDescent="0.2">
      <c r="O87" s="2"/>
      <c r="AR87" s="2"/>
      <c r="AU87" s="3"/>
      <c r="AZ87" s="3"/>
      <c r="BE87" s="3"/>
      <c r="BJ87" s="3"/>
      <c r="BR87" s="3"/>
      <c r="BZ87" s="3"/>
      <c r="CG87" s="3"/>
      <c r="CJ87" s="97"/>
      <c r="CS87" s="97"/>
      <c r="CZ87" s="97"/>
    </row>
    <row r="88" spans="15:104" ht="15.75" customHeight="1" x14ac:dyDescent="0.2">
      <c r="O88" s="2"/>
      <c r="AR88" s="2"/>
      <c r="AU88" s="3"/>
      <c r="AZ88" s="3"/>
      <c r="BE88" s="3"/>
      <c r="BJ88" s="3"/>
      <c r="BR88" s="3"/>
      <c r="BZ88" s="3"/>
      <c r="CG88" s="3"/>
      <c r="CJ88" s="97"/>
      <c r="CS88" s="97"/>
      <c r="CZ88" s="97"/>
    </row>
    <row r="89" spans="15:104" ht="15.75" customHeight="1" x14ac:dyDescent="0.2">
      <c r="AR89" s="2"/>
      <c r="AU89" s="3"/>
      <c r="AZ89" s="3"/>
      <c r="BE89" s="3"/>
      <c r="BJ89" s="3"/>
      <c r="BR89" s="3"/>
      <c r="BZ89" s="3"/>
      <c r="CG89" s="3"/>
      <c r="CS89" s="97"/>
      <c r="CZ89" s="97"/>
    </row>
    <row r="90" spans="15:104" ht="15.75" customHeight="1" x14ac:dyDescent="0.2">
      <c r="AR90" s="2"/>
      <c r="AU90" s="3"/>
      <c r="AZ90" s="3"/>
      <c r="BE90" s="3"/>
      <c r="BJ90" s="3"/>
      <c r="BR90" s="3"/>
      <c r="CS90" s="97"/>
      <c r="CZ90" s="97"/>
    </row>
    <row r="91" spans="15:104" ht="15.75" customHeight="1" x14ac:dyDescent="0.2">
      <c r="AR91" s="2"/>
      <c r="AZ91" s="3"/>
      <c r="BE91" s="3"/>
      <c r="BJ91" s="3"/>
      <c r="BR91" s="3"/>
      <c r="CS91" s="97"/>
    </row>
    <row r="92" spans="15:104" ht="15.75" customHeight="1" x14ac:dyDescent="0.2">
      <c r="AR92" s="2"/>
      <c r="BE92" s="3"/>
      <c r="BJ92" s="3"/>
    </row>
    <row r="93" spans="15:104" ht="15.75" customHeight="1" x14ac:dyDescent="0.2">
      <c r="BE93" s="3"/>
      <c r="BJ93" s="3"/>
    </row>
  </sheetData>
  <mergeCells count="84">
    <mergeCell ref="CA12:CF12"/>
    <mergeCell ref="CA11:CF11"/>
    <mergeCell ref="CA9:CF9"/>
    <mergeCell ref="CA36:CF36"/>
    <mergeCell ref="CA31:CF31"/>
    <mergeCell ref="CA25:CF25"/>
    <mergeCell ref="CA21:CF21"/>
    <mergeCell ref="CA20:CF20"/>
    <mergeCell ref="CA19:CF19"/>
    <mergeCell ref="CA16:CF16"/>
    <mergeCell ref="CA15:CF15"/>
    <mergeCell ref="CA14:CF14"/>
    <mergeCell ref="CA13:CF13"/>
    <mergeCell ref="CA23:CF23"/>
    <mergeCell ref="CA22:CF22"/>
    <mergeCell ref="CA34:CF34"/>
    <mergeCell ref="CM6:CR6"/>
    <mergeCell ref="CT6:CY6"/>
    <mergeCell ref="CM47:CR47"/>
    <mergeCell ref="CT47:CY47"/>
    <mergeCell ref="CH6:CI6"/>
    <mergeCell ref="CH47:CI47"/>
    <mergeCell ref="Y2:Z2"/>
    <mergeCell ref="AS6:AT6"/>
    <mergeCell ref="AV6:AY6"/>
    <mergeCell ref="CA6:CD6"/>
    <mergeCell ref="AK5:AM5"/>
    <mergeCell ref="BS6:BX6"/>
    <mergeCell ref="W6:AD6"/>
    <mergeCell ref="AH6:AO6"/>
    <mergeCell ref="BA6:BD6"/>
    <mergeCell ref="BF6:BI6"/>
    <mergeCell ref="BK6:BP6"/>
    <mergeCell ref="P6:T6"/>
    <mergeCell ref="P47:T47"/>
    <mergeCell ref="CA58:CD58"/>
    <mergeCell ref="CA59:CD59"/>
    <mergeCell ref="CA60:CD60"/>
    <mergeCell ref="BA47:BD47"/>
    <mergeCell ref="CA52:CD52"/>
    <mergeCell ref="W47:AD47"/>
    <mergeCell ref="AH47:AO47"/>
    <mergeCell ref="AS47:AT47"/>
    <mergeCell ref="AV47:AY47"/>
    <mergeCell ref="CA53:CD53"/>
    <mergeCell ref="CA54:CD54"/>
    <mergeCell ref="CA55:CD55"/>
    <mergeCell ref="CA56:CD56"/>
    <mergeCell ref="CA57:CD57"/>
    <mergeCell ref="CH78:CI78"/>
    <mergeCell ref="CM78:CR78"/>
    <mergeCell ref="CT78:CY78"/>
    <mergeCell ref="CA63:CD63"/>
    <mergeCell ref="CA64:CD64"/>
    <mergeCell ref="CA69:CD69"/>
    <mergeCell ref="CA65:CD65"/>
    <mergeCell ref="CA66:CD66"/>
    <mergeCell ref="CA68:CD68"/>
    <mergeCell ref="CA67:CD67"/>
    <mergeCell ref="P78:T78"/>
    <mergeCell ref="W78:AD78"/>
    <mergeCell ref="AH78:AO78"/>
    <mergeCell ref="AS78:AT78"/>
    <mergeCell ref="AV78:AY78"/>
    <mergeCell ref="BA78:BD78"/>
    <mergeCell ref="BF78:BI78"/>
    <mergeCell ref="BK78:BP78"/>
    <mergeCell ref="BS78:BX78"/>
    <mergeCell ref="CA78:CD78"/>
    <mergeCell ref="AK76:AM76"/>
    <mergeCell ref="BK47:BP47"/>
    <mergeCell ref="CA24:CF24"/>
    <mergeCell ref="CA49:CD49"/>
    <mergeCell ref="CA50:CD50"/>
    <mergeCell ref="CA51:CD51"/>
    <mergeCell ref="CA61:CD61"/>
    <mergeCell ref="CA62:CD62"/>
    <mergeCell ref="BS47:BX47"/>
    <mergeCell ref="CA47:CD47"/>
    <mergeCell ref="AK46:AM46"/>
    <mergeCell ref="BF47:BI47"/>
    <mergeCell ref="CA37:CF37"/>
    <mergeCell ref="CA42:CF42"/>
    <mergeCell ref="CA39:CF39"/>
  </mergeCells>
  <pageMargins left="0.7" right="0.7" top="0.75" bottom="0.75" header="0.3" footer="0.3"/>
  <pageSetup orientation="portrait" horizontalDpi="0" verticalDpi="0"/>
  <ignoredErrors>
    <ignoredError sqref="F26" formula="1"/>
  </ignoredErrors>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EF2D-AF0C-A745-9B26-9916B6969610}">
  <dimension ref="A1:BN82"/>
  <sheetViews>
    <sheetView topLeftCell="A33" zoomScale="120" zoomScaleNormal="120" workbookViewId="0">
      <pane xSplit="3" topLeftCell="D1" activePane="topRight" state="frozen"/>
      <selection pane="topRight" activeCell="A55" sqref="A55:XFD55"/>
    </sheetView>
  </sheetViews>
  <sheetFormatPr baseColWidth="10" defaultColWidth="11.5" defaultRowHeight="15.75" customHeight="1" x14ac:dyDescent="0.2"/>
  <cols>
    <col min="1" max="1" width="11.5" style="28"/>
    <col min="2" max="2" width="11.83203125" style="28" customWidth="1"/>
    <col min="3" max="3" width="37.1640625" style="28" customWidth="1"/>
    <col min="4" max="4" width="14" customWidth="1"/>
    <col min="8" max="8" width="16.5" customWidth="1"/>
    <col min="9" max="10" width="14.5" customWidth="1"/>
    <col min="11" max="11" width="13.5" customWidth="1"/>
    <col min="13" max="13" width="49" customWidth="1"/>
    <col min="14" max="14" width="31.5" customWidth="1"/>
    <col min="15" max="15" width="27" customWidth="1"/>
    <col min="16" max="16" width="14.33203125" customWidth="1"/>
    <col min="26" max="26" width="14.33203125" customWidth="1"/>
    <col min="27" max="27" width="22.1640625" customWidth="1"/>
    <col min="39" max="39" width="17.6640625" customWidth="1"/>
    <col min="47" max="47" width="15.5" customWidth="1"/>
  </cols>
  <sheetData>
    <row r="1" spans="1:66" ht="16" x14ac:dyDescent="0.2">
      <c r="I1" s="99" t="s">
        <v>164</v>
      </c>
      <c r="Z1" t="s">
        <v>316</v>
      </c>
      <c r="AD1" t="s">
        <v>316</v>
      </c>
      <c r="AH1" t="s">
        <v>316</v>
      </c>
      <c r="AL1" t="s">
        <v>316</v>
      </c>
      <c r="AP1" t="s">
        <v>316</v>
      </c>
      <c r="AT1" t="s">
        <v>316</v>
      </c>
      <c r="AX1" t="s">
        <v>316</v>
      </c>
      <c r="BB1" t="s">
        <v>316</v>
      </c>
      <c r="BF1" t="s">
        <v>316</v>
      </c>
      <c r="BJ1" t="s">
        <v>316</v>
      </c>
    </row>
    <row r="2" spans="1:66" s="3" customFormat="1" ht="17.25" customHeight="1" x14ac:dyDescent="0.2">
      <c r="A2" s="2" t="s">
        <v>317</v>
      </c>
      <c r="B2" s="2" t="s">
        <v>318</v>
      </c>
      <c r="C2" s="2" t="s">
        <v>6</v>
      </c>
      <c r="D2" s="332" t="s">
        <v>122</v>
      </c>
      <c r="E2" s="2"/>
      <c r="F2" s="332" t="s">
        <v>125</v>
      </c>
      <c r="G2" s="2"/>
      <c r="H2" s="438" t="s">
        <v>126</v>
      </c>
      <c r="I2" s="438"/>
      <c r="J2" s="438"/>
      <c r="K2" s="438"/>
      <c r="L2" s="2"/>
      <c r="M2" s="438" t="s">
        <v>319</v>
      </c>
      <c r="N2" s="438"/>
      <c r="O2" s="438"/>
      <c r="P2" s="438"/>
      <c r="R2" s="41" t="s">
        <v>320</v>
      </c>
      <c r="W2" s="439" t="s">
        <v>124</v>
      </c>
      <c r="X2" s="439"/>
      <c r="AA2" s="438" t="s">
        <v>321</v>
      </c>
      <c r="AB2" s="438"/>
      <c r="AC2" s="438"/>
      <c r="AD2" s="438"/>
      <c r="AE2" s="438"/>
      <c r="AF2" s="438"/>
      <c r="AG2" s="438"/>
      <c r="AH2" s="438"/>
      <c r="AI2" s="438"/>
      <c r="AJ2" s="438"/>
      <c r="AK2" s="438"/>
      <c r="AL2" s="438"/>
      <c r="AM2" s="438"/>
      <c r="AN2" s="438"/>
      <c r="AO2" s="438"/>
      <c r="AP2" s="438"/>
      <c r="AQ2" s="438"/>
      <c r="AR2" s="438"/>
      <c r="AS2" s="438"/>
      <c r="AT2" s="438"/>
      <c r="AU2" s="438"/>
      <c r="AV2" s="438"/>
      <c r="AW2" s="438"/>
      <c r="AX2" s="438"/>
      <c r="AY2" s="438"/>
      <c r="BC2" s="41" t="s">
        <v>322</v>
      </c>
    </row>
    <row r="3" spans="1:66" s="27" customFormat="1" ht="17.25" customHeight="1" x14ac:dyDescent="0.2">
      <c r="A3" s="23"/>
      <c r="B3" s="23"/>
      <c r="C3" s="23"/>
      <c r="D3" s="23" t="s">
        <v>323</v>
      </c>
      <c r="E3" s="24" t="s">
        <v>324</v>
      </c>
      <c r="F3" s="23" t="s">
        <v>323</v>
      </c>
      <c r="G3" s="23" t="s">
        <v>324</v>
      </c>
      <c r="H3" s="23" t="s">
        <v>325</v>
      </c>
      <c r="I3" s="23" t="s">
        <v>326</v>
      </c>
      <c r="J3" s="23" t="s">
        <v>327</v>
      </c>
      <c r="K3" s="23" t="s">
        <v>323</v>
      </c>
      <c r="L3" s="25" t="s">
        <v>328</v>
      </c>
      <c r="M3" s="23" t="s">
        <v>329</v>
      </c>
      <c r="N3" s="23" t="s">
        <v>330</v>
      </c>
      <c r="O3" s="23" t="s">
        <v>331</v>
      </c>
      <c r="P3" s="26" t="s">
        <v>323</v>
      </c>
      <c r="R3" s="27" t="s">
        <v>332</v>
      </c>
      <c r="S3" s="27" t="s">
        <v>333</v>
      </c>
      <c r="T3" s="27" t="s">
        <v>334</v>
      </c>
      <c r="U3" s="27" t="s">
        <v>335</v>
      </c>
      <c r="W3" s="27" t="s">
        <v>124</v>
      </c>
      <c r="X3" s="27" t="s">
        <v>328</v>
      </c>
      <c r="AA3" s="172" t="s">
        <v>336</v>
      </c>
      <c r="AB3" s="27" t="s">
        <v>337</v>
      </c>
      <c r="AC3" s="27" t="s">
        <v>338</v>
      </c>
      <c r="AE3" s="172" t="s">
        <v>339</v>
      </c>
      <c r="AF3" s="27" t="s">
        <v>337</v>
      </c>
      <c r="AG3" s="27" t="s">
        <v>338</v>
      </c>
      <c r="AI3" s="172" t="s">
        <v>340</v>
      </c>
      <c r="AJ3" s="27" t="s">
        <v>337</v>
      </c>
      <c r="AK3" s="27" t="s">
        <v>338</v>
      </c>
      <c r="AM3" s="172" t="s">
        <v>341</v>
      </c>
      <c r="AN3" s="27" t="s">
        <v>337</v>
      </c>
      <c r="AO3" s="27" t="s">
        <v>338</v>
      </c>
      <c r="AQ3" s="172" t="s">
        <v>342</v>
      </c>
      <c r="AR3" s="27" t="s">
        <v>337</v>
      </c>
      <c r="AS3" s="27" t="s">
        <v>338</v>
      </c>
      <c r="AU3" s="172" t="s">
        <v>343</v>
      </c>
      <c r="AV3" s="27" t="s">
        <v>337</v>
      </c>
      <c r="AW3" s="27" t="s">
        <v>338</v>
      </c>
      <c r="AY3" s="172" t="s">
        <v>344</v>
      </c>
      <c r="AZ3" s="27" t="s">
        <v>337</v>
      </c>
      <c r="BA3" s="27" t="s">
        <v>338</v>
      </c>
      <c r="BC3" s="172" t="s">
        <v>345</v>
      </c>
      <c r="BD3" s="27" t="s">
        <v>337</v>
      </c>
      <c r="BE3" s="27" t="s">
        <v>338</v>
      </c>
      <c r="BG3" s="172" t="s">
        <v>346</v>
      </c>
      <c r="BH3" s="27" t="s">
        <v>337</v>
      </c>
      <c r="BI3" s="27" t="s">
        <v>338</v>
      </c>
      <c r="BK3" s="172" t="s">
        <v>347</v>
      </c>
      <c r="BL3" s="27" t="s">
        <v>337</v>
      </c>
      <c r="BM3" s="27" t="s">
        <v>338</v>
      </c>
    </row>
    <row r="4" spans="1:66" ht="16" x14ac:dyDescent="0.2">
      <c r="A4" s="28" t="s">
        <v>130</v>
      </c>
      <c r="B4" s="28" t="s">
        <v>348</v>
      </c>
      <c r="C4" s="29" t="s">
        <v>9</v>
      </c>
      <c r="D4" s="437" t="s">
        <v>285</v>
      </c>
      <c r="E4" s="437"/>
      <c r="F4" s="11">
        <v>4</v>
      </c>
      <c r="G4" s="44" t="s">
        <v>349</v>
      </c>
      <c r="H4">
        <v>2</v>
      </c>
      <c r="I4">
        <v>2</v>
      </c>
      <c r="J4">
        <v>7</v>
      </c>
      <c r="K4">
        <v>11</v>
      </c>
      <c r="L4" t="s">
        <v>41</v>
      </c>
      <c r="M4" s="437" t="s">
        <v>285</v>
      </c>
      <c r="N4" s="437"/>
      <c r="O4" s="437"/>
      <c r="P4" s="437"/>
      <c r="R4">
        <v>4</v>
      </c>
      <c r="S4">
        <v>5</v>
      </c>
      <c r="T4">
        <v>3</v>
      </c>
    </row>
    <row r="5" spans="1:66" ht="16" x14ac:dyDescent="0.2">
      <c r="A5" s="28" t="s">
        <v>148</v>
      </c>
      <c r="B5" s="28" t="s">
        <v>350</v>
      </c>
      <c r="C5" s="29" t="s">
        <v>9</v>
      </c>
      <c r="D5" s="437" t="s">
        <v>285</v>
      </c>
      <c r="E5" s="437"/>
      <c r="F5" s="11">
        <v>1</v>
      </c>
      <c r="G5" s="44" t="s">
        <v>349</v>
      </c>
      <c r="H5">
        <v>8</v>
      </c>
      <c r="I5">
        <v>0</v>
      </c>
      <c r="J5">
        <v>2</v>
      </c>
      <c r="K5">
        <v>10</v>
      </c>
      <c r="L5" t="s">
        <v>41</v>
      </c>
      <c r="M5" s="437" t="s">
        <v>285</v>
      </c>
      <c r="N5" s="437"/>
      <c r="O5" s="437"/>
      <c r="P5" s="437"/>
      <c r="R5">
        <v>3</v>
      </c>
      <c r="S5">
        <v>2</v>
      </c>
      <c r="T5">
        <v>3</v>
      </c>
    </row>
    <row r="6" spans="1:66" ht="16" x14ac:dyDescent="0.2">
      <c r="A6" s="28" t="s">
        <v>149</v>
      </c>
      <c r="B6" s="28" t="s">
        <v>351</v>
      </c>
      <c r="C6" s="29" t="s">
        <v>9</v>
      </c>
      <c r="D6" s="437" t="s">
        <v>285</v>
      </c>
      <c r="E6" s="437"/>
      <c r="F6" s="11">
        <v>0</v>
      </c>
      <c r="G6" s="44" t="s">
        <v>349</v>
      </c>
      <c r="H6">
        <v>9</v>
      </c>
      <c r="I6">
        <v>0</v>
      </c>
      <c r="J6">
        <v>2</v>
      </c>
      <c r="K6">
        <v>11</v>
      </c>
      <c r="L6" t="s">
        <v>41</v>
      </c>
      <c r="M6" s="437" t="s">
        <v>285</v>
      </c>
      <c r="N6" s="437"/>
      <c r="O6" s="437"/>
      <c r="P6" s="437"/>
      <c r="R6">
        <v>8</v>
      </c>
      <c r="S6">
        <v>7</v>
      </c>
      <c r="T6">
        <v>0</v>
      </c>
    </row>
    <row r="7" spans="1:66" ht="16" x14ac:dyDescent="0.2">
      <c r="A7" s="28" t="s">
        <v>151</v>
      </c>
      <c r="B7" s="28" t="s">
        <v>352</v>
      </c>
      <c r="C7" s="29" t="s">
        <v>9</v>
      </c>
      <c r="D7" s="437" t="s">
        <v>285</v>
      </c>
      <c r="E7" s="437"/>
      <c r="F7" s="49">
        <v>11</v>
      </c>
      <c r="G7" s="159" t="s">
        <v>353</v>
      </c>
      <c r="H7">
        <v>10</v>
      </c>
      <c r="I7">
        <v>2</v>
      </c>
      <c r="J7">
        <v>12</v>
      </c>
      <c r="K7">
        <v>24</v>
      </c>
      <c r="L7" t="s">
        <v>41</v>
      </c>
      <c r="M7" s="437" t="s">
        <v>285</v>
      </c>
      <c r="N7" s="437"/>
      <c r="O7" s="437"/>
      <c r="P7" s="437"/>
      <c r="R7">
        <v>7</v>
      </c>
      <c r="S7">
        <v>7</v>
      </c>
      <c r="T7">
        <v>1</v>
      </c>
    </row>
    <row r="8" spans="1:66" ht="16" x14ac:dyDescent="0.2">
      <c r="A8" s="28" t="s">
        <v>152</v>
      </c>
      <c r="B8" s="28" t="s">
        <v>354</v>
      </c>
      <c r="C8" s="29" t="s">
        <v>9</v>
      </c>
      <c r="D8" s="437" t="s">
        <v>285</v>
      </c>
      <c r="E8" s="437"/>
      <c r="F8" s="11">
        <v>6</v>
      </c>
      <c r="G8" s="44" t="s">
        <v>355</v>
      </c>
      <c r="H8">
        <v>14</v>
      </c>
      <c r="I8">
        <v>0</v>
      </c>
      <c r="J8">
        <v>2</v>
      </c>
      <c r="K8">
        <v>16</v>
      </c>
      <c r="L8" t="s">
        <v>41</v>
      </c>
      <c r="M8" s="437" t="s">
        <v>285</v>
      </c>
      <c r="N8" s="437"/>
      <c r="O8" s="437"/>
      <c r="P8" s="437"/>
      <c r="R8">
        <v>0</v>
      </c>
      <c r="S8">
        <v>0</v>
      </c>
      <c r="T8">
        <v>0</v>
      </c>
    </row>
    <row r="9" spans="1:66" ht="16" x14ac:dyDescent="0.2">
      <c r="A9" s="28" t="s">
        <v>136</v>
      </c>
      <c r="B9" s="28" t="s">
        <v>348</v>
      </c>
      <c r="C9" s="29" t="s">
        <v>9</v>
      </c>
      <c r="D9" s="437" t="s">
        <v>285</v>
      </c>
      <c r="E9" s="437"/>
      <c r="F9" s="11">
        <v>0</v>
      </c>
      <c r="G9" s="44" t="s">
        <v>349</v>
      </c>
      <c r="H9">
        <v>4</v>
      </c>
      <c r="I9">
        <v>10</v>
      </c>
      <c r="J9">
        <v>0</v>
      </c>
      <c r="K9">
        <v>14</v>
      </c>
      <c r="L9" t="s">
        <v>41</v>
      </c>
      <c r="M9" s="437" t="s">
        <v>285</v>
      </c>
      <c r="N9" s="437"/>
      <c r="O9" s="437"/>
      <c r="P9" s="437"/>
      <c r="R9">
        <v>0</v>
      </c>
      <c r="S9">
        <v>0</v>
      </c>
      <c r="T9">
        <v>0</v>
      </c>
    </row>
    <row r="10" spans="1:66" ht="16" x14ac:dyDescent="0.2">
      <c r="A10" s="28" t="s">
        <v>150</v>
      </c>
      <c r="B10" s="28" t="s">
        <v>356</v>
      </c>
      <c r="C10" s="29" t="s">
        <v>9</v>
      </c>
      <c r="D10" s="437" t="s">
        <v>285</v>
      </c>
      <c r="E10" s="437"/>
      <c r="F10" s="31">
        <v>2</v>
      </c>
      <c r="G10" s="32" t="s">
        <v>349</v>
      </c>
      <c r="H10" s="31">
        <v>6</v>
      </c>
      <c r="I10" s="31">
        <v>2</v>
      </c>
      <c r="J10" s="31">
        <v>2</v>
      </c>
      <c r="K10" s="31">
        <v>10</v>
      </c>
      <c r="L10" s="32" t="s">
        <v>41</v>
      </c>
      <c r="M10" s="437" t="s">
        <v>285</v>
      </c>
      <c r="N10" s="437"/>
      <c r="O10" s="437"/>
      <c r="P10" s="437"/>
      <c r="Q10" s="4"/>
      <c r="R10" s="11">
        <v>5</v>
      </c>
      <c r="S10" s="11">
        <v>1</v>
      </c>
      <c r="T10" s="11">
        <v>1</v>
      </c>
      <c r="U10" s="4"/>
      <c r="V10" s="4"/>
      <c r="W10" s="4"/>
      <c r="X10" s="4"/>
      <c r="Y10" s="4"/>
      <c r="Z10" s="4"/>
    </row>
    <row r="11" spans="1:66" ht="16" x14ac:dyDescent="0.2">
      <c r="A11" s="28" t="s">
        <v>153</v>
      </c>
      <c r="B11" s="28" t="s">
        <v>357</v>
      </c>
      <c r="C11" s="28" t="s">
        <v>9</v>
      </c>
      <c r="D11" s="437" t="s">
        <v>285</v>
      </c>
      <c r="E11" s="437"/>
      <c r="F11" s="11">
        <v>5</v>
      </c>
      <c r="G11" s="44" t="s">
        <v>355</v>
      </c>
      <c r="H11">
        <v>10</v>
      </c>
      <c r="I11">
        <v>0</v>
      </c>
      <c r="J11">
        <v>6</v>
      </c>
      <c r="K11">
        <v>16</v>
      </c>
      <c r="L11" t="s">
        <v>41</v>
      </c>
      <c r="M11" s="437" t="s">
        <v>285</v>
      </c>
      <c r="N11" s="437"/>
      <c r="O11" s="437"/>
      <c r="P11" s="437"/>
      <c r="R11">
        <v>10</v>
      </c>
      <c r="S11">
        <v>11</v>
      </c>
      <c r="T11">
        <v>2</v>
      </c>
    </row>
    <row r="12" spans="1:66" ht="16" x14ac:dyDescent="0.2">
      <c r="A12" s="28" t="s">
        <v>154</v>
      </c>
      <c r="B12" s="28" t="s">
        <v>358</v>
      </c>
      <c r="C12" s="28" t="s">
        <v>9</v>
      </c>
      <c r="D12" s="437" t="s">
        <v>285</v>
      </c>
      <c r="E12" s="437"/>
      <c r="F12" s="11">
        <v>5</v>
      </c>
      <c r="G12" s="44" t="s">
        <v>355</v>
      </c>
      <c r="H12">
        <v>12</v>
      </c>
      <c r="I12">
        <v>0</v>
      </c>
      <c r="J12">
        <v>0</v>
      </c>
      <c r="K12">
        <v>12</v>
      </c>
      <c r="L12" t="s">
        <v>41</v>
      </c>
      <c r="M12" s="437" t="s">
        <v>285</v>
      </c>
      <c r="N12" s="437"/>
      <c r="O12" s="437"/>
      <c r="P12" s="437"/>
      <c r="R12">
        <v>4</v>
      </c>
      <c r="S12">
        <v>0</v>
      </c>
      <c r="T12">
        <v>0</v>
      </c>
    </row>
    <row r="13" spans="1:66" ht="16" x14ac:dyDescent="0.2">
      <c r="A13" s="28" t="s">
        <v>155</v>
      </c>
      <c r="B13" s="28" t="s">
        <v>359</v>
      </c>
      <c r="C13" s="29" t="s">
        <v>9</v>
      </c>
      <c r="D13" s="437" t="s">
        <v>285</v>
      </c>
      <c r="E13" s="437"/>
      <c r="F13" s="11">
        <v>2</v>
      </c>
      <c r="G13" s="44" t="s">
        <v>355</v>
      </c>
      <c r="H13">
        <v>12</v>
      </c>
      <c r="I13">
        <v>0</v>
      </c>
      <c r="J13">
        <v>4</v>
      </c>
      <c r="K13">
        <v>16</v>
      </c>
      <c r="L13" t="s">
        <v>41</v>
      </c>
      <c r="M13" s="437" t="s">
        <v>285</v>
      </c>
      <c r="N13" s="437"/>
      <c r="O13" s="437"/>
      <c r="P13" s="437"/>
      <c r="R13">
        <v>4</v>
      </c>
      <c r="S13">
        <v>0</v>
      </c>
      <c r="T13">
        <v>0</v>
      </c>
    </row>
    <row r="14" spans="1:66" ht="16" x14ac:dyDescent="0.2">
      <c r="A14" s="28" t="s">
        <v>156</v>
      </c>
      <c r="B14" s="28" t="s">
        <v>360</v>
      </c>
      <c r="C14" s="29" t="s">
        <v>9</v>
      </c>
      <c r="D14" s="437" t="s">
        <v>285</v>
      </c>
      <c r="E14" s="437"/>
      <c r="F14" s="11">
        <v>5</v>
      </c>
      <c r="G14" s="44" t="s">
        <v>355</v>
      </c>
      <c r="H14">
        <v>4</v>
      </c>
      <c r="I14">
        <v>0</v>
      </c>
      <c r="J14">
        <v>10</v>
      </c>
      <c r="K14">
        <v>14</v>
      </c>
      <c r="L14" t="s">
        <v>41</v>
      </c>
      <c r="M14" s="437" t="s">
        <v>285</v>
      </c>
      <c r="N14" s="437"/>
      <c r="O14" s="437"/>
      <c r="P14" s="437"/>
      <c r="R14">
        <v>9</v>
      </c>
      <c r="S14">
        <v>9</v>
      </c>
      <c r="T14">
        <v>1</v>
      </c>
    </row>
    <row r="15" spans="1:66" ht="16" x14ac:dyDescent="0.2">
      <c r="A15" s="28" t="s">
        <v>157</v>
      </c>
      <c r="B15" s="28" t="s">
        <v>361</v>
      </c>
      <c r="C15" s="29" t="s">
        <v>9</v>
      </c>
      <c r="D15" s="437" t="s">
        <v>285</v>
      </c>
      <c r="E15" s="437"/>
      <c r="F15" s="11">
        <v>6</v>
      </c>
      <c r="G15" s="44" t="s">
        <v>355</v>
      </c>
      <c r="H15">
        <v>17</v>
      </c>
      <c r="I15">
        <v>2</v>
      </c>
      <c r="J15">
        <v>7</v>
      </c>
      <c r="K15">
        <v>26</v>
      </c>
      <c r="L15" t="s">
        <v>41</v>
      </c>
      <c r="M15" s="437" t="s">
        <v>285</v>
      </c>
      <c r="N15" s="437"/>
      <c r="O15" s="437"/>
      <c r="P15" s="437"/>
      <c r="R15">
        <v>12</v>
      </c>
      <c r="S15">
        <v>1</v>
      </c>
      <c r="T15">
        <v>2</v>
      </c>
    </row>
    <row r="16" spans="1:66" ht="16" x14ac:dyDescent="0.2">
      <c r="A16" s="28" t="s">
        <v>158</v>
      </c>
      <c r="B16" s="28" t="s">
        <v>362</v>
      </c>
      <c r="C16" s="29" t="s">
        <v>9</v>
      </c>
      <c r="D16" s="437" t="s">
        <v>285</v>
      </c>
      <c r="E16" s="437"/>
      <c r="F16" s="11">
        <v>2</v>
      </c>
      <c r="G16" s="44" t="s">
        <v>349</v>
      </c>
      <c r="H16">
        <v>2</v>
      </c>
      <c r="I16">
        <v>4</v>
      </c>
      <c r="J16">
        <v>4</v>
      </c>
      <c r="K16">
        <v>10</v>
      </c>
      <c r="L16" t="s">
        <v>41</v>
      </c>
      <c r="M16" s="437" t="s">
        <v>285</v>
      </c>
      <c r="N16" s="437"/>
      <c r="O16" s="437"/>
      <c r="P16" s="437"/>
      <c r="R16">
        <v>4</v>
      </c>
      <c r="S16">
        <v>1</v>
      </c>
      <c r="T16">
        <v>2</v>
      </c>
    </row>
    <row r="17" spans="1:66" ht="16" x14ac:dyDescent="0.2">
      <c r="A17" s="28" t="s">
        <v>159</v>
      </c>
      <c r="B17" s="28" t="s">
        <v>363</v>
      </c>
      <c r="C17" s="29" t="s">
        <v>9</v>
      </c>
      <c r="D17" s="437" t="s">
        <v>285</v>
      </c>
      <c r="E17" s="437"/>
      <c r="F17" s="11">
        <v>2</v>
      </c>
      <c r="G17" s="44" t="s">
        <v>349</v>
      </c>
      <c r="H17">
        <v>12</v>
      </c>
      <c r="I17">
        <v>0</v>
      </c>
      <c r="J17">
        <v>4</v>
      </c>
      <c r="K17">
        <v>16</v>
      </c>
      <c r="L17" t="s">
        <v>41</v>
      </c>
      <c r="M17" s="437" t="s">
        <v>285</v>
      </c>
      <c r="N17" s="437"/>
      <c r="O17" s="437"/>
      <c r="P17" s="437"/>
      <c r="R17">
        <v>2</v>
      </c>
      <c r="S17">
        <v>2</v>
      </c>
      <c r="T17">
        <v>0</v>
      </c>
      <c r="AA17" t="s">
        <v>364</v>
      </c>
      <c r="AB17">
        <v>4</v>
      </c>
      <c r="AC17">
        <v>4</v>
      </c>
      <c r="AE17" t="s">
        <v>365</v>
      </c>
      <c r="AF17">
        <v>2</v>
      </c>
      <c r="AG17">
        <v>2</v>
      </c>
      <c r="AI17" t="s">
        <v>366</v>
      </c>
      <c r="AJ17">
        <v>3</v>
      </c>
      <c r="AK17">
        <v>4</v>
      </c>
      <c r="AM17" t="s">
        <v>367</v>
      </c>
      <c r="AN17">
        <v>4</v>
      </c>
      <c r="AO17">
        <v>0</v>
      </c>
      <c r="AQ17" t="s">
        <v>111</v>
      </c>
      <c r="AR17">
        <v>2</v>
      </c>
      <c r="AS17">
        <v>0</v>
      </c>
      <c r="AU17" t="s">
        <v>368</v>
      </c>
      <c r="AV17">
        <v>3</v>
      </c>
      <c r="AW17">
        <v>4</v>
      </c>
      <c r="AY17" t="s">
        <v>369</v>
      </c>
      <c r="AZ17">
        <v>2</v>
      </c>
      <c r="BA17">
        <v>3</v>
      </c>
      <c r="BC17" t="s">
        <v>368</v>
      </c>
      <c r="BD17">
        <v>4</v>
      </c>
      <c r="BE17">
        <v>5</v>
      </c>
      <c r="BG17" t="s">
        <v>370</v>
      </c>
      <c r="BH17">
        <v>5</v>
      </c>
      <c r="BI17">
        <v>0</v>
      </c>
      <c r="BK17" t="s">
        <v>371</v>
      </c>
      <c r="BL17">
        <v>3</v>
      </c>
      <c r="BM17">
        <v>1</v>
      </c>
    </row>
    <row r="18" spans="1:66" ht="16" x14ac:dyDescent="0.2">
      <c r="A18" s="28" t="s">
        <v>160</v>
      </c>
      <c r="B18" s="28" t="s">
        <v>372</v>
      </c>
      <c r="C18" s="29" t="s">
        <v>9</v>
      </c>
      <c r="D18" s="437" t="s">
        <v>285</v>
      </c>
      <c r="E18" s="437"/>
      <c r="F18" s="11">
        <v>2</v>
      </c>
      <c r="G18" s="44" t="s">
        <v>349</v>
      </c>
      <c r="H18">
        <v>16</v>
      </c>
      <c r="I18">
        <v>0</v>
      </c>
      <c r="J18">
        <v>4</v>
      </c>
      <c r="K18">
        <v>20</v>
      </c>
      <c r="L18" t="s">
        <v>41</v>
      </c>
      <c r="M18" s="437" t="s">
        <v>285</v>
      </c>
      <c r="N18" s="437"/>
      <c r="O18" s="437"/>
      <c r="P18" s="437"/>
      <c r="R18" s="30">
        <v>15</v>
      </c>
      <c r="S18">
        <v>8</v>
      </c>
      <c r="T18">
        <v>4</v>
      </c>
      <c r="AA18" t="s">
        <v>373</v>
      </c>
      <c r="AB18">
        <v>2</v>
      </c>
      <c r="AC18">
        <v>2</v>
      </c>
      <c r="AE18" t="s">
        <v>374</v>
      </c>
      <c r="AF18">
        <v>4</v>
      </c>
      <c r="AG18">
        <v>4</v>
      </c>
      <c r="AI18" t="s">
        <v>375</v>
      </c>
      <c r="AJ18">
        <v>2</v>
      </c>
      <c r="AK18">
        <v>2</v>
      </c>
      <c r="AM18" t="s">
        <v>369</v>
      </c>
      <c r="AN18">
        <v>1</v>
      </c>
      <c r="AO18">
        <v>2</v>
      </c>
      <c r="AQ18" t="s">
        <v>370</v>
      </c>
      <c r="AR18">
        <v>3</v>
      </c>
      <c r="AS18">
        <v>2</v>
      </c>
      <c r="AU18" t="s">
        <v>368</v>
      </c>
      <c r="AV18">
        <v>1</v>
      </c>
      <c r="AW18">
        <v>2</v>
      </c>
      <c r="AY18" t="s">
        <v>375</v>
      </c>
      <c r="AZ18">
        <v>3</v>
      </c>
      <c r="BA18">
        <v>2</v>
      </c>
      <c r="BC18" t="s">
        <v>375</v>
      </c>
      <c r="BD18">
        <v>3</v>
      </c>
      <c r="BE18">
        <v>2</v>
      </c>
      <c r="BG18" t="s">
        <v>374</v>
      </c>
      <c r="BH18">
        <v>2</v>
      </c>
      <c r="BI18">
        <v>3</v>
      </c>
      <c r="BK18" t="s">
        <v>370</v>
      </c>
      <c r="BL18">
        <v>3</v>
      </c>
      <c r="BM18">
        <v>2</v>
      </c>
    </row>
    <row r="19" spans="1:66" ht="16" x14ac:dyDescent="0.2">
      <c r="A19" s="28" t="s">
        <v>161</v>
      </c>
      <c r="B19" s="28" t="s">
        <v>376</v>
      </c>
      <c r="C19" s="28" t="s">
        <v>9</v>
      </c>
      <c r="D19" s="437" t="s">
        <v>285</v>
      </c>
      <c r="E19" s="437"/>
      <c r="F19" s="11">
        <v>1</v>
      </c>
      <c r="G19" s="32" t="s">
        <v>349</v>
      </c>
      <c r="H19" s="31">
        <v>15</v>
      </c>
      <c r="I19" s="31">
        <v>4</v>
      </c>
      <c r="J19" s="31">
        <v>4</v>
      </c>
      <c r="K19" s="31">
        <v>23</v>
      </c>
      <c r="L19" s="32" t="s">
        <v>41</v>
      </c>
      <c r="M19" s="437" t="s">
        <v>285</v>
      </c>
      <c r="N19" s="437"/>
      <c r="O19" s="437"/>
      <c r="P19" s="437"/>
      <c r="Q19" s="4"/>
      <c r="R19" s="49">
        <v>16</v>
      </c>
      <c r="S19" s="11">
        <v>13</v>
      </c>
      <c r="T19" s="11">
        <v>4</v>
      </c>
      <c r="U19" s="4"/>
      <c r="V19" s="4"/>
      <c r="W19" s="4"/>
      <c r="X19" s="4"/>
      <c r="Y19" s="4"/>
      <c r="Z19" s="4"/>
      <c r="AA19" t="s">
        <v>377</v>
      </c>
      <c r="AB19">
        <v>3</v>
      </c>
      <c r="AC19">
        <v>3</v>
      </c>
      <c r="AE19" t="s">
        <v>377</v>
      </c>
      <c r="AF19">
        <v>3</v>
      </c>
      <c r="AG19">
        <v>3</v>
      </c>
      <c r="AI19" t="s">
        <v>378</v>
      </c>
      <c r="AJ19">
        <v>4</v>
      </c>
      <c r="AK19">
        <v>5</v>
      </c>
      <c r="AM19" t="s">
        <v>379</v>
      </c>
      <c r="AN19">
        <v>5</v>
      </c>
      <c r="AO19">
        <v>0</v>
      </c>
      <c r="AQ19" t="s">
        <v>375</v>
      </c>
      <c r="AR19">
        <v>5</v>
      </c>
      <c r="AS19">
        <v>1</v>
      </c>
      <c r="AU19" t="s">
        <v>377</v>
      </c>
      <c r="AV19">
        <v>3</v>
      </c>
      <c r="AW19">
        <v>3</v>
      </c>
      <c r="AY19" t="s">
        <v>364</v>
      </c>
      <c r="AZ19">
        <v>4</v>
      </c>
      <c r="BA19">
        <v>4</v>
      </c>
      <c r="BC19" t="s">
        <v>377</v>
      </c>
      <c r="BD19">
        <v>3</v>
      </c>
      <c r="BE19">
        <v>3</v>
      </c>
      <c r="BG19" t="s">
        <v>379</v>
      </c>
      <c r="BH19">
        <v>4</v>
      </c>
      <c r="BI19">
        <v>1</v>
      </c>
      <c r="BK19" t="s">
        <v>379</v>
      </c>
      <c r="BL19">
        <v>4</v>
      </c>
      <c r="BM19">
        <v>1</v>
      </c>
    </row>
    <row r="20" spans="1:66" ht="17.25" customHeight="1" x14ac:dyDescent="0.2">
      <c r="A20" s="28" t="s">
        <v>162</v>
      </c>
      <c r="B20" s="28" t="s">
        <v>380</v>
      </c>
      <c r="C20" s="29" t="s">
        <v>9</v>
      </c>
      <c r="D20" s="437" t="s">
        <v>285</v>
      </c>
      <c r="E20" s="437"/>
      <c r="F20" s="11">
        <v>0</v>
      </c>
      <c r="G20" s="44" t="s">
        <v>349</v>
      </c>
      <c r="H20">
        <v>4</v>
      </c>
      <c r="I20">
        <v>13</v>
      </c>
      <c r="J20">
        <v>4</v>
      </c>
      <c r="K20">
        <v>21</v>
      </c>
      <c r="L20" t="s">
        <v>41</v>
      </c>
      <c r="M20" s="437" t="s">
        <v>285</v>
      </c>
      <c r="N20" s="437"/>
      <c r="O20" s="437"/>
      <c r="P20" s="437"/>
      <c r="R20">
        <v>6</v>
      </c>
      <c r="S20">
        <v>4</v>
      </c>
      <c r="T20">
        <v>2</v>
      </c>
      <c r="Z20" t="s">
        <v>381</v>
      </c>
      <c r="AA20" t="s">
        <v>368</v>
      </c>
      <c r="AB20">
        <v>3</v>
      </c>
      <c r="AC20">
        <v>2</v>
      </c>
      <c r="AD20" t="s">
        <v>382</v>
      </c>
      <c r="AE20" t="s">
        <v>369</v>
      </c>
      <c r="AF20">
        <v>2</v>
      </c>
      <c r="AG20">
        <v>2</v>
      </c>
      <c r="AH20" t="s">
        <v>383</v>
      </c>
      <c r="AI20" t="s">
        <v>369</v>
      </c>
      <c r="AJ20">
        <v>2</v>
      </c>
      <c r="AK20">
        <v>2</v>
      </c>
      <c r="AL20" t="s">
        <v>384</v>
      </c>
      <c r="AM20" t="s">
        <v>385</v>
      </c>
      <c r="AN20">
        <v>3</v>
      </c>
      <c r="AO20">
        <v>2</v>
      </c>
      <c r="AP20" t="s">
        <v>386</v>
      </c>
      <c r="AQ20" t="s">
        <v>370</v>
      </c>
      <c r="AR20">
        <v>3</v>
      </c>
      <c r="AS20">
        <v>1</v>
      </c>
      <c r="AT20" t="s">
        <v>381</v>
      </c>
      <c r="AU20" t="s">
        <v>368</v>
      </c>
      <c r="AV20">
        <v>3</v>
      </c>
      <c r="AW20">
        <v>2</v>
      </c>
      <c r="AX20" t="s">
        <v>387</v>
      </c>
      <c r="AY20" t="s">
        <v>369</v>
      </c>
      <c r="AZ20">
        <v>2</v>
      </c>
      <c r="BA20">
        <v>2</v>
      </c>
      <c r="BB20" t="s">
        <v>383</v>
      </c>
      <c r="BC20" t="s">
        <v>369</v>
      </c>
      <c r="BD20">
        <v>2</v>
      </c>
      <c r="BE20">
        <v>2</v>
      </c>
      <c r="BF20" t="s">
        <v>388</v>
      </c>
      <c r="BG20" t="s">
        <v>389</v>
      </c>
      <c r="BH20">
        <v>3</v>
      </c>
      <c r="BI20">
        <v>3</v>
      </c>
      <c r="BJ20" t="s">
        <v>386</v>
      </c>
      <c r="BK20" t="s">
        <v>370</v>
      </c>
      <c r="BL20">
        <v>3</v>
      </c>
      <c r="BM20">
        <v>1</v>
      </c>
    </row>
    <row r="21" spans="1:66" ht="17.25" customHeight="1" x14ac:dyDescent="0.2">
      <c r="A21" s="28" t="s">
        <v>163</v>
      </c>
      <c r="B21" s="28" t="s">
        <v>390</v>
      </c>
      <c r="C21" s="29" t="s">
        <v>9</v>
      </c>
      <c r="D21" s="437" t="s">
        <v>285</v>
      </c>
      <c r="E21" s="437"/>
      <c r="F21" s="11">
        <v>0</v>
      </c>
      <c r="G21" s="44" t="s">
        <v>349</v>
      </c>
      <c r="H21">
        <v>0</v>
      </c>
      <c r="I21">
        <v>0</v>
      </c>
      <c r="J21">
        <v>0</v>
      </c>
      <c r="K21">
        <v>0</v>
      </c>
      <c r="L21" s="32" t="s">
        <v>41</v>
      </c>
      <c r="M21" s="437" t="s">
        <v>285</v>
      </c>
      <c r="N21" s="437"/>
      <c r="O21" s="437"/>
      <c r="P21" s="437"/>
      <c r="R21">
        <v>0</v>
      </c>
      <c r="S21">
        <v>0</v>
      </c>
      <c r="T21">
        <v>1</v>
      </c>
    </row>
    <row r="22" spans="1:66" ht="15.75" customHeight="1" x14ac:dyDescent="0.2">
      <c r="A22" s="28" t="s">
        <v>228</v>
      </c>
      <c r="B22" s="28" t="s">
        <v>229</v>
      </c>
      <c r="C22" s="29" t="s">
        <v>9</v>
      </c>
      <c r="D22" s="436" t="s">
        <v>285</v>
      </c>
      <c r="E22" s="436"/>
      <c r="F22" s="11">
        <v>2</v>
      </c>
      <c r="G22" s="44" t="s">
        <v>349</v>
      </c>
      <c r="H22">
        <v>14</v>
      </c>
      <c r="I22">
        <v>9</v>
      </c>
      <c r="J22">
        <v>4</v>
      </c>
      <c r="K22">
        <v>27</v>
      </c>
      <c r="L22" t="s">
        <v>41</v>
      </c>
      <c r="M22" s="437" t="s">
        <v>285</v>
      </c>
      <c r="N22" s="437"/>
      <c r="O22" s="437"/>
      <c r="P22" s="437"/>
      <c r="R22">
        <v>11</v>
      </c>
      <c r="S22">
        <v>16</v>
      </c>
      <c r="T22">
        <v>1</v>
      </c>
    </row>
    <row r="23" spans="1:66" ht="16" x14ac:dyDescent="0.2">
      <c r="A23" s="28" t="s">
        <v>230</v>
      </c>
      <c r="B23" s="28" t="s">
        <v>231</v>
      </c>
      <c r="C23" s="29" t="s">
        <v>9</v>
      </c>
      <c r="D23" s="436" t="s">
        <v>285</v>
      </c>
      <c r="E23" s="436"/>
      <c r="F23" s="335">
        <v>9</v>
      </c>
      <c r="G23" s="336" t="s">
        <v>355</v>
      </c>
      <c r="H23" s="31">
        <v>4</v>
      </c>
      <c r="I23" s="31">
        <v>0</v>
      </c>
      <c r="J23" s="31">
        <v>2</v>
      </c>
      <c r="K23" s="31">
        <v>6</v>
      </c>
      <c r="L23" s="32" t="s">
        <v>41</v>
      </c>
      <c r="M23" s="437" t="s">
        <v>285</v>
      </c>
      <c r="N23" s="437"/>
      <c r="O23" s="437"/>
      <c r="P23" s="437"/>
      <c r="Q23" s="4"/>
      <c r="R23" s="11">
        <v>8</v>
      </c>
      <c r="S23" s="11">
        <v>6</v>
      </c>
      <c r="T23" s="11">
        <v>0</v>
      </c>
      <c r="U23" s="4"/>
      <c r="V23" s="4"/>
      <c r="W23" s="4"/>
      <c r="X23" s="4"/>
    </row>
    <row r="24" spans="1:66" ht="16" x14ac:dyDescent="0.2">
      <c r="A24" s="28" t="s">
        <v>232</v>
      </c>
      <c r="B24" s="28" t="s">
        <v>233</v>
      </c>
      <c r="C24" s="29" t="s">
        <v>9</v>
      </c>
      <c r="D24" s="436" t="s">
        <v>285</v>
      </c>
      <c r="E24" s="436"/>
      <c r="F24" s="31">
        <v>2</v>
      </c>
      <c r="G24" s="44" t="s">
        <v>349</v>
      </c>
      <c r="H24" s="11">
        <v>7</v>
      </c>
      <c r="I24" s="11">
        <v>0</v>
      </c>
      <c r="J24" s="11">
        <v>0</v>
      </c>
      <c r="K24" s="11">
        <v>7</v>
      </c>
      <c r="L24" t="s">
        <v>41</v>
      </c>
      <c r="M24" s="437" t="s">
        <v>285</v>
      </c>
      <c r="N24" s="437"/>
      <c r="O24" s="437"/>
      <c r="P24" s="437"/>
      <c r="R24" s="11">
        <v>1</v>
      </c>
      <c r="S24" s="11">
        <v>1</v>
      </c>
      <c r="T24" s="11">
        <v>0</v>
      </c>
    </row>
    <row r="25" spans="1:66" ht="17.25" customHeight="1" x14ac:dyDescent="0.2">
      <c r="C25" s="29"/>
      <c r="D25" s="33"/>
      <c r="E25" s="33"/>
      <c r="M25" s="33"/>
      <c r="N25" s="33"/>
      <c r="O25" s="33"/>
      <c r="P25" s="33"/>
    </row>
    <row r="26" spans="1:66" s="3" customFormat="1" ht="17.25" customHeight="1" x14ac:dyDescent="0.2">
      <c r="A26" s="2" t="s">
        <v>391</v>
      </c>
      <c r="B26" s="2" t="s">
        <v>318</v>
      </c>
      <c r="C26" s="42"/>
      <c r="D26" s="332" t="s">
        <v>122</v>
      </c>
      <c r="E26" s="2"/>
      <c r="F26" s="332" t="s">
        <v>125</v>
      </c>
      <c r="G26" s="2"/>
      <c r="H26" s="438" t="s">
        <v>126</v>
      </c>
      <c r="I26" s="438"/>
      <c r="J26" s="438"/>
      <c r="K26" s="438"/>
      <c r="L26" s="2"/>
      <c r="M26" s="438" t="s">
        <v>319</v>
      </c>
      <c r="N26" s="438"/>
      <c r="O26" s="438"/>
      <c r="P26" s="438"/>
      <c r="R26" s="41" t="s">
        <v>320</v>
      </c>
      <c r="T26" s="43"/>
      <c r="W26" s="439" t="s">
        <v>124</v>
      </c>
      <c r="X26" s="439"/>
      <c r="AA26" s="438" t="s">
        <v>321</v>
      </c>
      <c r="AB26" s="438"/>
      <c r="AC26" s="438"/>
      <c r="AD26" s="438"/>
      <c r="AE26" s="438"/>
      <c r="AF26" s="438"/>
      <c r="AG26" s="438"/>
      <c r="AH26" s="438"/>
      <c r="AI26" s="438"/>
      <c r="AJ26" s="438"/>
      <c r="AK26" s="438"/>
      <c r="AL26" s="438"/>
      <c r="AM26" s="438"/>
      <c r="AN26" s="438"/>
      <c r="AO26" s="438"/>
      <c r="AP26" s="438"/>
      <c r="AQ26" s="438"/>
      <c r="AR26" s="438"/>
      <c r="AS26" s="438"/>
      <c r="AT26" s="438"/>
      <c r="AU26" s="438"/>
      <c r="AV26" s="438"/>
      <c r="AW26" s="438"/>
      <c r="AX26" s="438"/>
      <c r="AY26" s="438"/>
      <c r="BC26" s="41" t="s">
        <v>322</v>
      </c>
    </row>
    <row r="27" spans="1:66" s="37" customFormat="1" ht="34" x14ac:dyDescent="0.2">
      <c r="A27" s="25"/>
      <c r="B27" s="25"/>
      <c r="C27" s="25"/>
      <c r="D27" s="25" t="s">
        <v>323</v>
      </c>
      <c r="E27" s="34" t="s">
        <v>324</v>
      </c>
      <c r="F27" s="25" t="s">
        <v>323</v>
      </c>
      <c r="G27" s="25" t="s">
        <v>324</v>
      </c>
      <c r="H27" s="25" t="s">
        <v>325</v>
      </c>
      <c r="I27" s="25" t="s">
        <v>326</v>
      </c>
      <c r="J27" s="25" t="s">
        <v>327</v>
      </c>
      <c r="K27" s="25" t="s">
        <v>323</v>
      </c>
      <c r="L27" s="25" t="s">
        <v>328</v>
      </c>
      <c r="M27" s="35" t="s">
        <v>392</v>
      </c>
      <c r="N27" s="35" t="s">
        <v>393</v>
      </c>
      <c r="O27" s="35" t="s">
        <v>394</v>
      </c>
      <c r="P27" s="36" t="s">
        <v>323</v>
      </c>
      <c r="R27" s="37" t="s">
        <v>332</v>
      </c>
      <c r="S27" s="37" t="s">
        <v>333</v>
      </c>
      <c r="T27" s="37" t="s">
        <v>334</v>
      </c>
      <c r="U27" s="27" t="s">
        <v>335</v>
      </c>
      <c r="V27" s="27"/>
      <c r="W27" s="27" t="s">
        <v>124</v>
      </c>
      <c r="X27" s="27" t="s">
        <v>328</v>
      </c>
      <c r="Z27" s="298" t="s">
        <v>395</v>
      </c>
      <c r="AA27" s="172" t="s">
        <v>336</v>
      </c>
      <c r="AB27" s="27" t="s">
        <v>337</v>
      </c>
      <c r="AC27" s="27" t="s">
        <v>338</v>
      </c>
      <c r="AD27" s="27"/>
      <c r="AE27" s="172" t="s">
        <v>339</v>
      </c>
      <c r="AF27" s="27" t="s">
        <v>337</v>
      </c>
      <c r="AG27" s="27" t="s">
        <v>338</v>
      </c>
      <c r="AH27" s="27"/>
      <c r="AI27" s="172" t="s">
        <v>340</v>
      </c>
      <c r="AJ27" s="27" t="s">
        <v>337</v>
      </c>
      <c r="AK27" s="27" t="s">
        <v>338</v>
      </c>
      <c r="AL27" s="27"/>
      <c r="AM27" s="172" t="s">
        <v>341</v>
      </c>
      <c r="AN27" s="27" t="s">
        <v>337</v>
      </c>
      <c r="AO27" s="27" t="s">
        <v>338</v>
      </c>
      <c r="AP27" s="27"/>
      <c r="AQ27" s="172" t="s">
        <v>342</v>
      </c>
      <c r="AR27" s="27" t="s">
        <v>337</v>
      </c>
      <c r="AS27" s="27" t="s">
        <v>338</v>
      </c>
      <c r="AT27" s="27"/>
      <c r="AU27" s="172" t="s">
        <v>343</v>
      </c>
      <c r="AV27" s="27" t="s">
        <v>337</v>
      </c>
      <c r="AW27" s="27" t="s">
        <v>338</v>
      </c>
      <c r="AX27" s="27"/>
      <c r="AY27" s="172" t="s">
        <v>344</v>
      </c>
      <c r="AZ27" s="27" t="s">
        <v>337</v>
      </c>
      <c r="BA27" s="27" t="s">
        <v>338</v>
      </c>
      <c r="BB27" s="27"/>
      <c r="BC27" s="172" t="s">
        <v>345</v>
      </c>
      <c r="BD27" s="27" t="s">
        <v>337</v>
      </c>
      <c r="BE27" s="27" t="s">
        <v>338</v>
      </c>
      <c r="BF27" s="27"/>
      <c r="BG27" s="172" t="s">
        <v>346</v>
      </c>
      <c r="BH27" s="27" t="s">
        <v>337</v>
      </c>
      <c r="BI27" s="27" t="s">
        <v>338</v>
      </c>
      <c r="BJ27" s="27"/>
      <c r="BK27" s="172" t="s">
        <v>347</v>
      </c>
      <c r="BL27" s="27" t="s">
        <v>337</v>
      </c>
      <c r="BM27" s="27" t="s">
        <v>338</v>
      </c>
      <c r="BN27" s="27"/>
    </row>
    <row r="28" spans="1:66" ht="32" x14ac:dyDescent="0.2">
      <c r="A28" s="28" t="s">
        <v>56</v>
      </c>
      <c r="C28" s="29" t="s">
        <v>396</v>
      </c>
      <c r="D28" s="15">
        <v>34</v>
      </c>
      <c r="E28" s="15" t="s">
        <v>355</v>
      </c>
      <c r="F28" s="31">
        <v>5</v>
      </c>
      <c r="G28" s="32" t="s">
        <v>397</v>
      </c>
      <c r="H28" s="15">
        <v>21</v>
      </c>
      <c r="I28" s="15">
        <v>0</v>
      </c>
      <c r="J28" s="15">
        <v>21</v>
      </c>
      <c r="K28" s="317">
        <v>42</v>
      </c>
      <c r="L28" s="38" t="s">
        <v>46</v>
      </c>
      <c r="M28" s="15">
        <v>19</v>
      </c>
      <c r="N28" s="15">
        <v>6.25</v>
      </c>
      <c r="O28" s="4">
        <v>43.75</v>
      </c>
      <c r="P28" s="4">
        <v>18.89</v>
      </c>
      <c r="Q28" s="4"/>
      <c r="R28" s="39">
        <v>18</v>
      </c>
      <c r="S28" s="4">
        <v>10</v>
      </c>
      <c r="T28" s="39">
        <v>11</v>
      </c>
      <c r="U28" s="4"/>
      <c r="V28" s="4"/>
      <c r="W28" s="4"/>
      <c r="X28" s="4"/>
      <c r="Y28" s="4"/>
      <c r="Z28" s="4"/>
    </row>
    <row r="29" spans="1:66" ht="16" x14ac:dyDescent="0.2">
      <c r="A29" s="28" t="s">
        <v>83</v>
      </c>
      <c r="B29" s="28" t="s">
        <v>398</v>
      </c>
      <c r="C29" s="29" t="s">
        <v>11</v>
      </c>
      <c r="D29" s="437" t="s">
        <v>285</v>
      </c>
      <c r="E29" s="437"/>
      <c r="F29" s="31">
        <v>5</v>
      </c>
      <c r="G29" s="32" t="s">
        <v>397</v>
      </c>
      <c r="H29" s="15">
        <v>17</v>
      </c>
      <c r="I29" s="15">
        <v>7</v>
      </c>
      <c r="J29" s="15">
        <v>9</v>
      </c>
      <c r="K29" s="38">
        <v>33</v>
      </c>
      <c r="L29" s="38" t="s">
        <v>46</v>
      </c>
      <c r="M29" s="437" t="s">
        <v>285</v>
      </c>
      <c r="N29" s="437"/>
      <c r="O29" s="437"/>
      <c r="P29" s="437"/>
      <c r="Q29" s="4"/>
      <c r="R29" s="4">
        <v>11</v>
      </c>
      <c r="S29" s="4">
        <v>7</v>
      </c>
      <c r="T29" s="4">
        <v>3</v>
      </c>
      <c r="U29" s="4"/>
      <c r="V29" s="4"/>
      <c r="W29" s="4"/>
      <c r="X29" s="4"/>
      <c r="Y29" s="4"/>
      <c r="Z29" s="4"/>
    </row>
    <row r="30" spans="1:66" ht="16" x14ac:dyDescent="0.2">
      <c r="A30" s="28" t="s">
        <v>84</v>
      </c>
      <c r="B30" s="28" t="s">
        <v>399</v>
      </c>
      <c r="C30" s="29" t="s">
        <v>400</v>
      </c>
      <c r="D30" s="15">
        <v>48</v>
      </c>
      <c r="E30" s="15" t="s">
        <v>353</v>
      </c>
      <c r="F30" s="48">
        <v>19</v>
      </c>
      <c r="G30" s="278" t="s">
        <v>401</v>
      </c>
      <c r="H30" s="15">
        <v>24</v>
      </c>
      <c r="I30" s="15">
        <v>30</v>
      </c>
      <c r="J30" s="15">
        <v>32</v>
      </c>
      <c r="K30" s="317">
        <v>86</v>
      </c>
      <c r="L30" s="38" t="s">
        <v>46</v>
      </c>
      <c r="M30" s="15">
        <v>31</v>
      </c>
      <c r="N30" s="15">
        <v>37.5</v>
      </c>
      <c r="O30" s="4">
        <v>28.75</v>
      </c>
      <c r="P30" s="4">
        <v>32.590000000000003</v>
      </c>
      <c r="Q30" s="4"/>
      <c r="R30" s="39">
        <v>14</v>
      </c>
      <c r="S30" s="177">
        <v>20</v>
      </c>
      <c r="T30" s="39">
        <v>8</v>
      </c>
      <c r="U30" s="4"/>
      <c r="V30" s="4"/>
      <c r="W30" s="316"/>
      <c r="X30" s="4"/>
      <c r="Y30" s="4"/>
      <c r="Z30" s="4"/>
      <c r="AA30" s="4"/>
    </row>
    <row r="31" spans="1:66" ht="16" x14ac:dyDescent="0.2">
      <c r="A31" s="28" t="s">
        <v>85</v>
      </c>
      <c r="B31" s="28" t="s">
        <v>402</v>
      </c>
      <c r="C31" s="29" t="s">
        <v>403</v>
      </c>
      <c r="D31" s="15">
        <v>22</v>
      </c>
      <c r="E31" s="15" t="s">
        <v>355</v>
      </c>
      <c r="F31" s="31">
        <v>6</v>
      </c>
      <c r="G31" s="32" t="s">
        <v>397</v>
      </c>
      <c r="H31" s="15">
        <v>4</v>
      </c>
      <c r="I31" s="15">
        <v>5</v>
      </c>
      <c r="J31" s="15">
        <v>14</v>
      </c>
      <c r="K31" s="15">
        <v>23</v>
      </c>
      <c r="L31" s="15" t="s">
        <v>41</v>
      </c>
      <c r="M31" s="15">
        <v>26</v>
      </c>
      <c r="N31" s="15">
        <v>16.25</v>
      </c>
      <c r="O31" s="4">
        <v>15</v>
      </c>
      <c r="P31" s="4">
        <v>21.48</v>
      </c>
      <c r="Q31" s="4"/>
      <c r="R31" s="4">
        <v>13</v>
      </c>
      <c r="S31" s="4">
        <v>11</v>
      </c>
      <c r="T31" s="4">
        <v>6</v>
      </c>
      <c r="U31" s="4"/>
      <c r="V31" s="4"/>
      <c r="W31" s="101"/>
      <c r="X31" s="4"/>
      <c r="Y31" s="4"/>
      <c r="Z31" s="4"/>
      <c r="AA31" s="4"/>
    </row>
    <row r="32" spans="1:66" ht="16" x14ac:dyDescent="0.2">
      <c r="A32" s="28" t="s">
        <v>86</v>
      </c>
      <c r="B32" s="28" t="s">
        <v>404</v>
      </c>
      <c r="C32" s="28" t="s">
        <v>11</v>
      </c>
      <c r="D32" s="437" t="s">
        <v>285</v>
      </c>
      <c r="E32" s="437"/>
      <c r="F32" s="48">
        <v>18</v>
      </c>
      <c r="G32" s="278" t="s">
        <v>401</v>
      </c>
      <c r="H32" s="15">
        <v>20</v>
      </c>
      <c r="I32" s="15">
        <v>17</v>
      </c>
      <c r="J32" s="15">
        <v>14</v>
      </c>
      <c r="K32" s="38">
        <v>51</v>
      </c>
      <c r="L32" s="38" t="s">
        <v>46</v>
      </c>
      <c r="M32" s="437" t="s">
        <v>285</v>
      </c>
      <c r="N32" s="437"/>
      <c r="O32" s="437"/>
      <c r="P32" s="437"/>
      <c r="Q32" s="4"/>
      <c r="R32" s="39">
        <v>15</v>
      </c>
      <c r="S32" s="177">
        <v>21</v>
      </c>
      <c r="T32" s="4">
        <v>6</v>
      </c>
      <c r="U32" s="4"/>
      <c r="V32" s="4"/>
      <c r="W32" s="4"/>
      <c r="X32" s="4"/>
      <c r="Y32" s="4"/>
      <c r="Z32" s="4"/>
      <c r="AA32" s="4"/>
    </row>
    <row r="33" spans="1:65" ht="16" x14ac:dyDescent="0.2">
      <c r="A33" s="28" t="s">
        <v>87</v>
      </c>
      <c r="B33" s="28" t="s">
        <v>405</v>
      </c>
      <c r="C33" s="28" t="s">
        <v>406</v>
      </c>
      <c r="D33" s="437" t="s">
        <v>285</v>
      </c>
      <c r="E33" s="437"/>
      <c r="F33" s="31">
        <v>0</v>
      </c>
      <c r="G33" s="44" t="s">
        <v>349</v>
      </c>
      <c r="H33" s="15">
        <v>0</v>
      </c>
      <c r="I33" s="15">
        <v>5</v>
      </c>
      <c r="J33" s="15">
        <v>11</v>
      </c>
      <c r="K33" s="15">
        <v>16</v>
      </c>
      <c r="L33" s="15" t="s">
        <v>41</v>
      </c>
      <c r="M33" s="437" t="s">
        <v>285</v>
      </c>
      <c r="N33" s="437"/>
      <c r="O33" s="437"/>
      <c r="P33" s="437"/>
      <c r="Q33" s="4"/>
      <c r="R33" s="4">
        <v>7</v>
      </c>
      <c r="S33" s="4">
        <v>0</v>
      </c>
      <c r="T33" s="4">
        <v>0</v>
      </c>
      <c r="U33" s="4"/>
      <c r="V33" s="4"/>
      <c r="W33" s="316"/>
      <c r="X33" s="4"/>
      <c r="Y33" s="4"/>
      <c r="Z33" s="4"/>
      <c r="AA33" s="4"/>
    </row>
    <row r="34" spans="1:65" ht="16" x14ac:dyDescent="0.2">
      <c r="A34" s="28" t="s">
        <v>88</v>
      </c>
      <c r="B34" s="28" t="s">
        <v>62</v>
      </c>
      <c r="C34" s="28" t="s">
        <v>11</v>
      </c>
      <c r="D34" s="437" t="s">
        <v>285</v>
      </c>
      <c r="E34" s="437"/>
      <c r="F34" s="48">
        <v>12</v>
      </c>
      <c r="G34" s="278" t="s">
        <v>353</v>
      </c>
      <c r="H34" s="15">
        <v>20</v>
      </c>
      <c r="I34" s="15">
        <v>19</v>
      </c>
      <c r="J34" s="15">
        <v>20</v>
      </c>
      <c r="K34" s="317">
        <v>59</v>
      </c>
      <c r="L34" s="38" t="s">
        <v>46</v>
      </c>
      <c r="M34" s="437" t="s">
        <v>285</v>
      </c>
      <c r="N34" s="437"/>
      <c r="O34" s="437"/>
      <c r="P34" s="437"/>
      <c r="Q34" s="4"/>
      <c r="R34" s="39">
        <v>14</v>
      </c>
      <c r="S34" s="4">
        <v>16</v>
      </c>
      <c r="T34" s="4">
        <v>6</v>
      </c>
      <c r="U34" s="4"/>
      <c r="V34" s="4"/>
      <c r="W34" s="101"/>
      <c r="X34" s="4"/>
      <c r="Y34" s="4"/>
      <c r="Z34" s="4"/>
      <c r="AA34" s="4"/>
    </row>
    <row r="35" spans="1:65" ht="16" x14ac:dyDescent="0.2">
      <c r="A35" s="28" t="s">
        <v>89</v>
      </c>
      <c r="B35" s="28" t="s">
        <v>407</v>
      </c>
      <c r="C35" s="29" t="s">
        <v>406</v>
      </c>
      <c r="D35" s="437" t="s">
        <v>285</v>
      </c>
      <c r="E35" s="437"/>
      <c r="F35" s="49">
        <v>14</v>
      </c>
      <c r="G35" s="159" t="s">
        <v>353</v>
      </c>
      <c r="H35" s="4">
        <v>11</v>
      </c>
      <c r="I35" s="4">
        <v>2</v>
      </c>
      <c r="J35" s="4">
        <v>8</v>
      </c>
      <c r="K35" s="4">
        <v>21</v>
      </c>
      <c r="L35" s="15" t="s">
        <v>41</v>
      </c>
      <c r="M35" s="437" t="s">
        <v>285</v>
      </c>
      <c r="N35" s="437"/>
      <c r="O35" s="437"/>
      <c r="P35" s="437"/>
      <c r="R35" s="39">
        <v>15</v>
      </c>
      <c r="S35" s="4">
        <v>8</v>
      </c>
      <c r="T35" s="4">
        <v>4</v>
      </c>
      <c r="W35" s="4"/>
      <c r="X35" s="4"/>
      <c r="Y35" s="4"/>
      <c r="Z35" s="4"/>
      <c r="AA35" s="4"/>
    </row>
    <row r="36" spans="1:65" ht="16" x14ac:dyDescent="0.2">
      <c r="A36" s="28" t="s">
        <v>90</v>
      </c>
      <c r="B36" s="28" t="s">
        <v>408</v>
      </c>
      <c r="C36" s="29" t="s">
        <v>11</v>
      </c>
      <c r="D36" s="437" t="s">
        <v>285</v>
      </c>
      <c r="E36" s="437"/>
      <c r="F36" s="49">
        <v>11</v>
      </c>
      <c r="G36" s="159" t="s">
        <v>353</v>
      </c>
      <c r="H36" s="4">
        <v>17</v>
      </c>
      <c r="I36" s="4">
        <v>7</v>
      </c>
      <c r="J36" s="4">
        <v>19</v>
      </c>
      <c r="K36" s="318">
        <v>43</v>
      </c>
      <c r="L36" s="39" t="s">
        <v>46</v>
      </c>
      <c r="M36" s="437" t="s">
        <v>285</v>
      </c>
      <c r="N36" s="437"/>
      <c r="O36" s="437"/>
      <c r="P36" s="437"/>
      <c r="R36" s="39">
        <v>20</v>
      </c>
      <c r="S36" s="4">
        <v>15</v>
      </c>
      <c r="T36" s="4">
        <v>6</v>
      </c>
      <c r="W36" s="316"/>
      <c r="X36" s="316"/>
      <c r="Y36" s="316"/>
      <c r="Z36" s="316"/>
      <c r="AA36" s="316"/>
    </row>
    <row r="37" spans="1:65" ht="32" x14ac:dyDescent="0.2">
      <c r="A37" s="28" t="s">
        <v>91</v>
      </c>
      <c r="B37" s="28" t="s">
        <v>65</v>
      </c>
      <c r="C37" s="29" t="s">
        <v>396</v>
      </c>
      <c r="D37" s="15">
        <v>32</v>
      </c>
      <c r="E37" s="15" t="s">
        <v>353</v>
      </c>
      <c r="F37" s="31">
        <v>6</v>
      </c>
      <c r="G37" s="32" t="s">
        <v>397</v>
      </c>
      <c r="H37" s="15">
        <v>29</v>
      </c>
      <c r="I37" s="15">
        <v>21</v>
      </c>
      <c r="J37" s="15">
        <v>29</v>
      </c>
      <c r="K37" s="38">
        <v>79</v>
      </c>
      <c r="L37" s="38" t="s">
        <v>46</v>
      </c>
      <c r="M37" s="15">
        <v>48</v>
      </c>
      <c r="N37" s="15">
        <v>32.5</v>
      </c>
      <c r="O37" s="15">
        <v>15</v>
      </c>
      <c r="P37" s="15">
        <v>38.520000000000003</v>
      </c>
      <c r="Q37" s="4"/>
      <c r="R37" s="38">
        <v>22</v>
      </c>
      <c r="S37" s="15">
        <v>16</v>
      </c>
      <c r="T37" s="38">
        <v>9</v>
      </c>
      <c r="U37" s="4"/>
      <c r="V37" s="4"/>
      <c r="W37" s="101"/>
      <c r="X37" s="316"/>
      <c r="Y37" s="316"/>
      <c r="Z37" s="316"/>
      <c r="AA37" s="316"/>
    </row>
    <row r="38" spans="1:65" s="14" customFormat="1" ht="16" x14ac:dyDescent="0.2">
      <c r="A38" s="264" t="s">
        <v>92</v>
      </c>
      <c r="B38" s="264" t="s">
        <v>66</v>
      </c>
      <c r="C38" s="264" t="s">
        <v>409</v>
      </c>
      <c r="D38" s="15">
        <v>16</v>
      </c>
      <c r="E38" s="265" t="s">
        <v>355</v>
      </c>
      <c r="F38" s="31">
        <v>1</v>
      </c>
      <c r="G38" s="32" t="s">
        <v>349</v>
      </c>
      <c r="H38" s="15">
        <v>16</v>
      </c>
      <c r="I38" s="15">
        <v>7</v>
      </c>
      <c r="J38" s="15">
        <v>10</v>
      </c>
      <c r="K38" s="38">
        <v>33</v>
      </c>
      <c r="L38" s="38" t="s">
        <v>46</v>
      </c>
      <c r="M38" s="15">
        <v>13.33</v>
      </c>
      <c r="N38" s="15">
        <v>36.25</v>
      </c>
      <c r="O38" s="15">
        <v>25</v>
      </c>
      <c r="P38" s="15">
        <v>21.85</v>
      </c>
      <c r="Q38" s="15"/>
      <c r="R38" s="15">
        <v>13</v>
      </c>
      <c r="S38" s="15">
        <v>3</v>
      </c>
      <c r="T38" s="15">
        <v>6</v>
      </c>
      <c r="U38" s="15"/>
      <c r="V38" s="15"/>
      <c r="W38" s="4"/>
      <c r="X38" s="4"/>
      <c r="Y38" s="4"/>
      <c r="Z38" s="4"/>
      <c r="AA38" s="4"/>
    </row>
    <row r="39" spans="1:65" ht="16" x14ac:dyDescent="0.2">
      <c r="A39" s="28" t="s">
        <v>93</v>
      </c>
      <c r="B39" s="28" t="s">
        <v>410</v>
      </c>
      <c r="C39" s="28" t="s">
        <v>411</v>
      </c>
      <c r="D39" s="437" t="s">
        <v>285</v>
      </c>
      <c r="E39" s="437"/>
      <c r="F39" s="48">
        <v>8</v>
      </c>
      <c r="G39" s="278" t="s">
        <v>397</v>
      </c>
      <c r="H39" s="15">
        <v>17</v>
      </c>
      <c r="I39" s="15">
        <v>2</v>
      </c>
      <c r="J39" s="15">
        <v>17</v>
      </c>
      <c r="K39" s="317">
        <v>36</v>
      </c>
      <c r="L39" s="38" t="s">
        <v>46</v>
      </c>
      <c r="M39" s="437" t="s">
        <v>285</v>
      </c>
      <c r="N39" s="437"/>
      <c r="O39" s="437"/>
      <c r="P39" s="437"/>
      <c r="Q39" s="4"/>
      <c r="R39" s="39">
        <v>15</v>
      </c>
      <c r="S39" s="4">
        <v>17</v>
      </c>
      <c r="T39" s="39">
        <v>7</v>
      </c>
      <c r="U39" s="4"/>
      <c r="V39" s="4"/>
      <c r="W39" s="4"/>
      <c r="X39" s="4"/>
      <c r="Y39" s="4"/>
      <c r="Z39" s="4"/>
    </row>
    <row r="40" spans="1:65" ht="16" x14ac:dyDescent="0.2">
      <c r="A40" s="28" t="s">
        <v>94</v>
      </c>
      <c r="B40" s="28" t="s">
        <v>412</v>
      </c>
      <c r="C40" s="28" t="s">
        <v>11</v>
      </c>
      <c r="D40" s="437" t="s">
        <v>285</v>
      </c>
      <c r="E40" s="437"/>
      <c r="F40" s="31">
        <v>6</v>
      </c>
      <c r="G40" s="32" t="s">
        <v>397</v>
      </c>
      <c r="H40" s="15">
        <v>29</v>
      </c>
      <c r="I40" s="15">
        <v>12</v>
      </c>
      <c r="J40" s="15">
        <v>16</v>
      </c>
      <c r="K40" s="38">
        <v>57</v>
      </c>
      <c r="L40" s="38" t="s">
        <v>46</v>
      </c>
      <c r="M40" s="437" t="s">
        <v>285</v>
      </c>
      <c r="N40" s="437"/>
      <c r="O40" s="437"/>
      <c r="P40" s="437"/>
      <c r="Q40" s="4"/>
      <c r="R40" s="4">
        <v>7</v>
      </c>
      <c r="S40" s="4">
        <v>12</v>
      </c>
      <c r="T40" s="4">
        <v>5</v>
      </c>
      <c r="U40" s="4"/>
      <c r="V40" s="4"/>
      <c r="W40" s="4"/>
      <c r="X40" s="4"/>
      <c r="Y40" s="4"/>
      <c r="Z40" s="4"/>
    </row>
    <row r="41" spans="1:65" ht="16" x14ac:dyDescent="0.2">
      <c r="A41" s="28" t="s">
        <v>95</v>
      </c>
      <c r="B41" s="28" t="s">
        <v>413</v>
      </c>
      <c r="C41" s="28" t="s">
        <v>414</v>
      </c>
      <c r="D41" s="437" t="s">
        <v>285</v>
      </c>
      <c r="E41" s="437"/>
      <c r="F41" s="31">
        <v>1</v>
      </c>
      <c r="G41" s="32" t="s">
        <v>349</v>
      </c>
      <c r="H41" s="15">
        <v>12</v>
      </c>
      <c r="I41" s="15">
        <v>7</v>
      </c>
      <c r="J41" s="15">
        <v>10</v>
      </c>
      <c r="K41" s="38">
        <v>29</v>
      </c>
      <c r="L41" s="38" t="s">
        <v>46</v>
      </c>
      <c r="M41" s="437" t="s">
        <v>285</v>
      </c>
      <c r="N41" s="437"/>
      <c r="O41" s="437"/>
      <c r="P41" s="437"/>
      <c r="Q41" s="4"/>
      <c r="R41" s="39">
        <v>17</v>
      </c>
      <c r="S41" s="39">
        <v>20</v>
      </c>
      <c r="T41" s="4">
        <v>6</v>
      </c>
      <c r="U41" s="4"/>
      <c r="V41" s="4"/>
      <c r="W41" s="4"/>
      <c r="X41" s="4"/>
      <c r="Y41" s="4"/>
      <c r="Z41" s="4"/>
    </row>
    <row r="42" spans="1:65" ht="16" x14ac:dyDescent="0.2">
      <c r="A42" s="28" t="s">
        <v>96</v>
      </c>
      <c r="B42" s="28" t="s">
        <v>415</v>
      </c>
      <c r="C42" s="28" t="s">
        <v>414</v>
      </c>
      <c r="D42" s="437" t="s">
        <v>285</v>
      </c>
      <c r="E42" s="437"/>
      <c r="F42" s="48">
        <v>10</v>
      </c>
      <c r="G42" s="278" t="s">
        <v>353</v>
      </c>
      <c r="H42" s="15">
        <v>27</v>
      </c>
      <c r="I42" s="15">
        <v>7</v>
      </c>
      <c r="J42" s="15">
        <v>11</v>
      </c>
      <c r="K42" s="38">
        <v>45</v>
      </c>
      <c r="L42" s="38" t="s">
        <v>46</v>
      </c>
      <c r="M42" s="437" t="s">
        <v>285</v>
      </c>
      <c r="N42" s="437"/>
      <c r="O42" s="437"/>
      <c r="P42" s="437"/>
      <c r="Q42" s="4"/>
      <c r="R42" s="4">
        <v>7</v>
      </c>
      <c r="S42" s="4">
        <v>11</v>
      </c>
      <c r="T42" s="4">
        <v>5</v>
      </c>
      <c r="U42" s="4"/>
      <c r="V42" s="4"/>
      <c r="W42" s="4"/>
      <c r="X42" s="4"/>
      <c r="Y42" s="4"/>
      <c r="Z42" s="4"/>
    </row>
    <row r="43" spans="1:65" ht="16" x14ac:dyDescent="0.2">
      <c r="A43" s="28" t="s">
        <v>97</v>
      </c>
      <c r="B43" s="28" t="s">
        <v>416</v>
      </c>
      <c r="C43" s="28" t="s">
        <v>11</v>
      </c>
      <c r="D43" s="437" t="s">
        <v>285</v>
      </c>
      <c r="E43" s="437"/>
      <c r="F43" s="277">
        <v>0</v>
      </c>
      <c r="G43" s="279" t="s">
        <v>349</v>
      </c>
      <c r="H43" s="15">
        <v>11</v>
      </c>
      <c r="I43" s="15">
        <v>2</v>
      </c>
      <c r="J43" s="15">
        <v>16</v>
      </c>
      <c r="K43" s="317">
        <v>29</v>
      </c>
      <c r="L43" s="38" t="s">
        <v>46</v>
      </c>
      <c r="M43" s="437" t="s">
        <v>285</v>
      </c>
      <c r="N43" s="437"/>
      <c r="O43" s="437"/>
      <c r="P43" s="437"/>
      <c r="Q43" s="4"/>
      <c r="R43" s="4">
        <v>5</v>
      </c>
      <c r="S43" s="4">
        <v>2</v>
      </c>
      <c r="T43" s="4">
        <v>0</v>
      </c>
      <c r="U43" s="4"/>
      <c r="V43" s="4"/>
      <c r="W43" s="4"/>
      <c r="X43" s="4"/>
      <c r="Y43" s="4"/>
      <c r="Z43" s="4"/>
    </row>
    <row r="44" spans="1:65" ht="16" x14ac:dyDescent="0.2">
      <c r="A44" s="28" t="s">
        <v>98</v>
      </c>
      <c r="B44" s="28" t="s">
        <v>417</v>
      </c>
      <c r="C44" s="28" t="s">
        <v>11</v>
      </c>
      <c r="D44" s="437" t="s">
        <v>285</v>
      </c>
      <c r="E44" s="437"/>
      <c r="F44" s="11">
        <v>2</v>
      </c>
      <c r="G44" s="44" t="s">
        <v>349</v>
      </c>
      <c r="H44" s="15">
        <v>21</v>
      </c>
      <c r="I44" s="15">
        <v>12</v>
      </c>
      <c r="J44" s="15">
        <v>17</v>
      </c>
      <c r="K44" s="317">
        <v>50</v>
      </c>
      <c r="L44" s="38" t="s">
        <v>46</v>
      </c>
      <c r="M44" s="437" t="s">
        <v>285</v>
      </c>
      <c r="N44" s="437"/>
      <c r="O44" s="437"/>
      <c r="P44" s="437"/>
      <c r="R44" s="4">
        <v>4</v>
      </c>
      <c r="S44" s="4">
        <v>8</v>
      </c>
      <c r="T44" s="4">
        <v>3</v>
      </c>
      <c r="Z44" t="s">
        <v>381</v>
      </c>
      <c r="AA44" t="s">
        <v>369</v>
      </c>
      <c r="AB44">
        <v>3</v>
      </c>
      <c r="AC44">
        <v>3</v>
      </c>
      <c r="AD44" t="s">
        <v>418</v>
      </c>
      <c r="AE44" t="s">
        <v>369</v>
      </c>
      <c r="AF44">
        <v>3</v>
      </c>
      <c r="AG44">
        <v>3</v>
      </c>
      <c r="AH44" t="s">
        <v>419</v>
      </c>
      <c r="AJ44" t="s">
        <v>371</v>
      </c>
      <c r="AK44">
        <v>4</v>
      </c>
      <c r="AL44">
        <v>1</v>
      </c>
      <c r="AM44" s="250"/>
      <c r="AN44" s="250"/>
      <c r="AO44" s="250"/>
      <c r="AP44" s="250"/>
      <c r="AQ44" s="250"/>
      <c r="AR44" s="250"/>
      <c r="AS44" s="250"/>
      <c r="AT44" t="s">
        <v>420</v>
      </c>
      <c r="AU44" t="s">
        <v>369</v>
      </c>
      <c r="AV44">
        <v>2</v>
      </c>
      <c r="AW44">
        <v>3</v>
      </c>
      <c r="AX44" t="s">
        <v>418</v>
      </c>
      <c r="AY44" t="s">
        <v>369</v>
      </c>
      <c r="AZ44">
        <v>2</v>
      </c>
      <c r="BA44">
        <v>3</v>
      </c>
      <c r="BB44" t="s">
        <v>421</v>
      </c>
      <c r="BC44" t="s">
        <v>370</v>
      </c>
      <c r="BD44">
        <v>4</v>
      </c>
      <c r="BE44">
        <v>2</v>
      </c>
      <c r="BF44" s="250"/>
      <c r="BG44" s="250"/>
      <c r="BH44" s="250"/>
      <c r="BI44" s="250"/>
      <c r="BJ44" s="250"/>
      <c r="BK44" s="250"/>
      <c r="BL44" s="250"/>
      <c r="BM44" s="250"/>
    </row>
    <row r="45" spans="1:65" ht="16" x14ac:dyDescent="0.2">
      <c r="A45" s="28" t="s">
        <v>99</v>
      </c>
      <c r="B45" s="28" t="s">
        <v>422</v>
      </c>
      <c r="C45" s="28" t="s">
        <v>11</v>
      </c>
      <c r="D45" s="436" t="s">
        <v>285</v>
      </c>
      <c r="E45" s="436"/>
      <c r="F45" s="11">
        <v>2</v>
      </c>
      <c r="G45" s="44" t="s">
        <v>349</v>
      </c>
      <c r="H45" s="15">
        <v>18</v>
      </c>
      <c r="I45" s="15">
        <v>17</v>
      </c>
      <c r="J45" s="15">
        <v>26</v>
      </c>
      <c r="K45" s="317">
        <v>61</v>
      </c>
      <c r="L45" s="38" t="s">
        <v>46</v>
      </c>
      <c r="M45" s="436" t="s">
        <v>285</v>
      </c>
      <c r="N45" s="436"/>
      <c r="O45" s="436"/>
      <c r="P45" s="436"/>
      <c r="R45" s="177">
        <v>18</v>
      </c>
      <c r="S45" s="4">
        <v>14</v>
      </c>
      <c r="T45" s="4">
        <v>6</v>
      </c>
      <c r="Z45" t="s">
        <v>423</v>
      </c>
      <c r="AA45" t="s">
        <v>369</v>
      </c>
      <c r="AB45">
        <v>3</v>
      </c>
      <c r="AC45">
        <v>3</v>
      </c>
      <c r="AD45" t="s">
        <v>382</v>
      </c>
      <c r="AE45" t="s">
        <v>369</v>
      </c>
      <c r="AF45">
        <v>2</v>
      </c>
      <c r="AG45">
        <v>2</v>
      </c>
      <c r="AH45" t="s">
        <v>424</v>
      </c>
      <c r="AI45" t="s">
        <v>369</v>
      </c>
      <c r="AJ45">
        <v>3</v>
      </c>
      <c r="AK45">
        <v>3</v>
      </c>
      <c r="AL45" t="s">
        <v>425</v>
      </c>
      <c r="AM45" t="s">
        <v>368</v>
      </c>
      <c r="AN45">
        <v>3</v>
      </c>
      <c r="AO45">
        <v>4</v>
      </c>
      <c r="AP45" t="s">
        <v>426</v>
      </c>
      <c r="AQ45" t="s">
        <v>370</v>
      </c>
      <c r="AR45">
        <v>4</v>
      </c>
      <c r="AS45">
        <v>0</v>
      </c>
      <c r="AT45" t="s">
        <v>423</v>
      </c>
      <c r="AU45" t="s">
        <v>369</v>
      </c>
      <c r="AV45">
        <v>4</v>
      </c>
      <c r="AW45">
        <v>4</v>
      </c>
      <c r="AX45" t="s">
        <v>387</v>
      </c>
      <c r="AY45" t="s">
        <v>375</v>
      </c>
      <c r="AZ45">
        <v>2</v>
      </c>
      <c r="BA45">
        <v>2</v>
      </c>
      <c r="BB45" t="s">
        <v>424</v>
      </c>
      <c r="BC45" t="s">
        <v>366</v>
      </c>
      <c r="BD45">
        <v>4</v>
      </c>
      <c r="BE45">
        <v>4</v>
      </c>
      <c r="BF45" t="s">
        <v>425</v>
      </c>
      <c r="BG45" t="s">
        <v>368</v>
      </c>
      <c r="BH45">
        <v>5</v>
      </c>
      <c r="BI45">
        <v>5</v>
      </c>
      <c r="BJ45" t="s">
        <v>426</v>
      </c>
      <c r="BK45" t="s">
        <v>370</v>
      </c>
      <c r="BL45">
        <v>4</v>
      </c>
      <c r="BM45">
        <v>0</v>
      </c>
    </row>
    <row r="46" spans="1:65" ht="32" x14ac:dyDescent="0.2">
      <c r="A46" s="28" t="s">
        <v>100</v>
      </c>
      <c r="B46" s="28" t="s">
        <v>427</v>
      </c>
      <c r="C46" s="29" t="s">
        <v>428</v>
      </c>
      <c r="D46" s="40">
        <v>38</v>
      </c>
      <c r="E46" s="40" t="s">
        <v>353</v>
      </c>
      <c r="F46" s="31">
        <v>5</v>
      </c>
      <c r="G46" s="32" t="s">
        <v>355</v>
      </c>
      <c r="H46" s="15">
        <v>20</v>
      </c>
      <c r="I46" s="15">
        <v>11</v>
      </c>
      <c r="J46" s="15">
        <v>20</v>
      </c>
      <c r="K46" s="38">
        <v>51</v>
      </c>
      <c r="L46" s="38" t="s">
        <v>46</v>
      </c>
      <c r="M46" s="40">
        <v>59.33</v>
      </c>
      <c r="N46" s="40">
        <v>45.63</v>
      </c>
      <c r="O46" s="40">
        <v>22.5</v>
      </c>
      <c r="P46" s="40">
        <v>49.81</v>
      </c>
      <c r="R46" s="177">
        <v>15</v>
      </c>
      <c r="S46" s="4">
        <v>14</v>
      </c>
      <c r="T46" s="177">
        <v>10</v>
      </c>
    </row>
    <row r="47" spans="1:65" ht="16" x14ac:dyDescent="0.2">
      <c r="A47" s="28" t="s">
        <v>101</v>
      </c>
      <c r="B47" s="28" t="s">
        <v>429</v>
      </c>
      <c r="C47" s="28" t="s">
        <v>409</v>
      </c>
      <c r="D47" s="262">
        <v>44</v>
      </c>
      <c r="E47" s="262" t="s">
        <v>353</v>
      </c>
      <c r="F47" s="11">
        <v>2</v>
      </c>
      <c r="G47" s="44" t="s">
        <v>349</v>
      </c>
      <c r="H47" s="15">
        <v>24</v>
      </c>
      <c r="I47" s="15">
        <v>25</v>
      </c>
      <c r="J47" s="15">
        <v>27</v>
      </c>
      <c r="K47" s="317">
        <v>76</v>
      </c>
      <c r="L47" s="38" t="s">
        <v>46</v>
      </c>
      <c r="M47" s="262">
        <v>41.3</v>
      </c>
      <c r="N47" s="262">
        <v>38.130000000000003</v>
      </c>
      <c r="O47" s="262">
        <v>25</v>
      </c>
      <c r="P47" s="262">
        <v>37.96</v>
      </c>
      <c r="R47" s="177">
        <v>21</v>
      </c>
      <c r="S47" s="175">
        <v>19</v>
      </c>
      <c r="T47" s="4">
        <v>6</v>
      </c>
      <c r="W47" s="4">
        <v>29</v>
      </c>
      <c r="X47" s="4" t="s">
        <v>41</v>
      </c>
      <c r="Z47" t="s">
        <v>381</v>
      </c>
      <c r="AA47" t="s">
        <v>369</v>
      </c>
      <c r="AB47">
        <v>4</v>
      </c>
      <c r="AC47">
        <v>5</v>
      </c>
      <c r="AD47" t="s">
        <v>423</v>
      </c>
      <c r="AE47" t="s">
        <v>369</v>
      </c>
      <c r="AF47">
        <v>3</v>
      </c>
      <c r="AG47">
        <v>4</v>
      </c>
      <c r="AH47" t="s">
        <v>430</v>
      </c>
      <c r="AI47" t="s">
        <v>369</v>
      </c>
      <c r="AJ47">
        <v>4</v>
      </c>
      <c r="AK47">
        <v>4</v>
      </c>
      <c r="AL47" t="s">
        <v>431</v>
      </c>
      <c r="AM47" t="s">
        <v>371</v>
      </c>
      <c r="AN47">
        <v>3</v>
      </c>
      <c r="AO47">
        <v>0</v>
      </c>
      <c r="AP47" t="s">
        <v>426</v>
      </c>
      <c r="AQ47" t="s">
        <v>370</v>
      </c>
      <c r="AR47">
        <v>3</v>
      </c>
      <c r="AS47">
        <v>0</v>
      </c>
      <c r="AT47" t="s">
        <v>420</v>
      </c>
      <c r="AU47" t="s">
        <v>369</v>
      </c>
      <c r="AV47">
        <v>2</v>
      </c>
      <c r="AW47">
        <v>3</v>
      </c>
      <c r="AX47" t="s">
        <v>423</v>
      </c>
      <c r="AY47" t="s">
        <v>368</v>
      </c>
      <c r="AZ47">
        <v>2</v>
      </c>
      <c r="BA47">
        <v>3</v>
      </c>
      <c r="BB47" t="s">
        <v>432</v>
      </c>
      <c r="BC47" t="s">
        <v>369</v>
      </c>
      <c r="BD47">
        <v>2</v>
      </c>
      <c r="BE47">
        <v>2</v>
      </c>
      <c r="BF47" t="s">
        <v>433</v>
      </c>
      <c r="BG47" t="s">
        <v>370</v>
      </c>
      <c r="BH47">
        <v>4</v>
      </c>
      <c r="BI47">
        <v>0</v>
      </c>
      <c r="BJ47" t="s">
        <v>426</v>
      </c>
      <c r="BK47" t="s">
        <v>371</v>
      </c>
      <c r="BL47">
        <v>4</v>
      </c>
      <c r="BM47">
        <v>0</v>
      </c>
    </row>
    <row r="48" spans="1:65" ht="17.25" customHeight="1" x14ac:dyDescent="0.2">
      <c r="A48" s="28" t="s">
        <v>102</v>
      </c>
      <c r="B48" s="28" t="s">
        <v>434</v>
      </c>
      <c r="C48" s="28" t="s">
        <v>403</v>
      </c>
      <c r="D48" s="239">
        <v>4</v>
      </c>
      <c r="E48" s="239" t="s">
        <v>435</v>
      </c>
      <c r="F48" s="31">
        <v>2</v>
      </c>
      <c r="G48" s="44" t="s">
        <v>349</v>
      </c>
      <c r="H48" s="15">
        <v>6</v>
      </c>
      <c r="I48" s="15">
        <v>2</v>
      </c>
      <c r="J48" s="15">
        <v>2</v>
      </c>
      <c r="K48" s="176">
        <v>10</v>
      </c>
      <c r="L48" s="40" t="s">
        <v>41</v>
      </c>
      <c r="M48" s="239">
        <v>13.33</v>
      </c>
      <c r="N48" s="239">
        <v>4.38</v>
      </c>
      <c r="O48" s="239">
        <v>50</v>
      </c>
      <c r="P48" s="239">
        <v>16.11</v>
      </c>
      <c r="Q48" s="4"/>
      <c r="R48" s="174">
        <v>5</v>
      </c>
      <c r="S48" s="174">
        <v>1</v>
      </c>
      <c r="T48" s="175">
        <v>2</v>
      </c>
      <c r="U48" s="4"/>
      <c r="V48" s="4"/>
      <c r="W48" s="177"/>
      <c r="X48" s="177"/>
      <c r="Z48" t="s">
        <v>387</v>
      </c>
      <c r="AA48" t="s">
        <v>436</v>
      </c>
      <c r="AB48">
        <v>1</v>
      </c>
      <c r="AC48">
        <v>1</v>
      </c>
      <c r="AD48" t="s">
        <v>437</v>
      </c>
      <c r="AE48" t="s">
        <v>438</v>
      </c>
      <c r="AF48">
        <v>1</v>
      </c>
      <c r="AG48">
        <v>1</v>
      </c>
      <c r="AH48" t="s">
        <v>424</v>
      </c>
      <c r="AI48" t="s">
        <v>375</v>
      </c>
      <c r="AJ48">
        <v>0</v>
      </c>
      <c r="AK48">
        <v>0</v>
      </c>
      <c r="AL48" t="s">
        <v>439</v>
      </c>
      <c r="AM48" t="s">
        <v>438</v>
      </c>
      <c r="AN48">
        <v>1</v>
      </c>
      <c r="AO48">
        <v>1</v>
      </c>
      <c r="AP48" t="s">
        <v>440</v>
      </c>
      <c r="AQ48" t="s">
        <v>441</v>
      </c>
      <c r="AR48">
        <v>3</v>
      </c>
      <c r="AS48">
        <v>0</v>
      </c>
      <c r="AT48" t="s">
        <v>387</v>
      </c>
      <c r="AU48" t="s">
        <v>442</v>
      </c>
      <c r="AV48">
        <v>1</v>
      </c>
      <c r="AW48">
        <v>1</v>
      </c>
      <c r="AX48" t="s">
        <v>437</v>
      </c>
      <c r="AY48" t="s">
        <v>442</v>
      </c>
      <c r="AZ48">
        <v>1</v>
      </c>
      <c r="BA48">
        <v>1</v>
      </c>
      <c r="BB48" t="s">
        <v>424</v>
      </c>
      <c r="BC48" t="s">
        <v>442</v>
      </c>
      <c r="BD48">
        <v>2</v>
      </c>
      <c r="BE48">
        <v>2</v>
      </c>
      <c r="BF48" t="s">
        <v>439</v>
      </c>
      <c r="BG48" t="s">
        <v>442</v>
      </c>
      <c r="BH48">
        <v>2</v>
      </c>
      <c r="BI48">
        <v>2</v>
      </c>
      <c r="BJ48" t="s">
        <v>440</v>
      </c>
      <c r="BK48" t="s">
        <v>443</v>
      </c>
      <c r="BL48">
        <v>2</v>
      </c>
      <c r="BM48">
        <v>0</v>
      </c>
    </row>
    <row r="49" spans="1:65" ht="17.25" customHeight="1" x14ac:dyDescent="0.2">
      <c r="A49" s="28" t="s">
        <v>103</v>
      </c>
      <c r="B49" s="28" t="s">
        <v>444</v>
      </c>
      <c r="C49" s="28" t="s">
        <v>409</v>
      </c>
      <c r="D49" s="239">
        <v>10</v>
      </c>
      <c r="E49" s="239" t="s">
        <v>435</v>
      </c>
      <c r="F49" s="31">
        <v>5</v>
      </c>
      <c r="G49" s="44" t="s">
        <v>397</v>
      </c>
      <c r="H49" s="15">
        <v>16</v>
      </c>
      <c r="I49" s="15">
        <v>4</v>
      </c>
      <c r="J49" s="15">
        <v>16</v>
      </c>
      <c r="K49" s="15">
        <v>36</v>
      </c>
      <c r="L49" s="38" t="s">
        <v>46</v>
      </c>
      <c r="M49" s="239">
        <v>20</v>
      </c>
      <c r="N49" s="239">
        <v>13.75</v>
      </c>
      <c r="O49" s="239">
        <v>36.25</v>
      </c>
      <c r="P49" s="239">
        <v>20.56</v>
      </c>
      <c r="Q49" s="4"/>
      <c r="R49" s="174">
        <v>10</v>
      </c>
      <c r="S49" s="174">
        <v>4</v>
      </c>
      <c r="T49" s="175">
        <v>2</v>
      </c>
      <c r="U49" s="4"/>
      <c r="V49" s="4"/>
      <c r="W49" s="177"/>
      <c r="X49" s="177"/>
      <c r="Z49" t="s">
        <v>445</v>
      </c>
      <c r="AA49" t="s">
        <v>370</v>
      </c>
      <c r="AB49">
        <v>4</v>
      </c>
      <c r="AC49">
        <v>0</v>
      </c>
      <c r="AD49" t="s">
        <v>446</v>
      </c>
      <c r="AE49" t="s">
        <v>368</v>
      </c>
      <c r="AF49">
        <v>4</v>
      </c>
      <c r="AG49">
        <v>5</v>
      </c>
      <c r="AH49" t="s">
        <v>437</v>
      </c>
      <c r="AI49" t="s">
        <v>375</v>
      </c>
      <c r="AJ49">
        <v>2</v>
      </c>
      <c r="AK49">
        <v>0</v>
      </c>
      <c r="AL49" t="s">
        <v>423</v>
      </c>
      <c r="AM49" t="s">
        <v>369</v>
      </c>
      <c r="AN49">
        <v>4</v>
      </c>
      <c r="AO49">
        <v>3</v>
      </c>
      <c r="AP49" t="s">
        <v>447</v>
      </c>
      <c r="AQ49" t="s">
        <v>369</v>
      </c>
      <c r="AR49">
        <v>3</v>
      </c>
      <c r="AS49">
        <v>3</v>
      </c>
      <c r="AT49" t="s">
        <v>445</v>
      </c>
      <c r="AU49" t="s">
        <v>370</v>
      </c>
      <c r="AV49">
        <v>4</v>
      </c>
      <c r="AW49">
        <v>0</v>
      </c>
      <c r="AX49" t="s">
        <v>446</v>
      </c>
      <c r="AY49" t="s">
        <v>369</v>
      </c>
      <c r="AZ49">
        <v>4</v>
      </c>
      <c r="BA49">
        <v>5</v>
      </c>
      <c r="BB49" t="s">
        <v>437</v>
      </c>
      <c r="BC49" t="s">
        <v>369</v>
      </c>
      <c r="BD49">
        <v>3</v>
      </c>
      <c r="BE49">
        <v>3</v>
      </c>
      <c r="BF49" t="s">
        <v>423</v>
      </c>
      <c r="BG49" t="s">
        <v>369</v>
      </c>
      <c r="BH49">
        <v>3</v>
      </c>
      <c r="BI49">
        <v>3</v>
      </c>
      <c r="BJ49" t="s">
        <v>447</v>
      </c>
      <c r="BK49" t="s">
        <v>368</v>
      </c>
      <c r="BL49">
        <v>4</v>
      </c>
      <c r="BM49">
        <v>3</v>
      </c>
    </row>
    <row r="50" spans="1:65" ht="17.25" customHeight="1" x14ac:dyDescent="0.2">
      <c r="A50" s="28" t="s">
        <v>104</v>
      </c>
      <c r="B50" s="28" t="s">
        <v>448</v>
      </c>
      <c r="C50" s="28" t="s">
        <v>403</v>
      </c>
      <c r="D50" s="4">
        <v>18</v>
      </c>
      <c r="E50" s="4" t="s">
        <v>355</v>
      </c>
      <c r="F50" s="11">
        <v>9</v>
      </c>
      <c r="G50" s="44" t="s">
        <v>397</v>
      </c>
      <c r="H50" s="4">
        <v>18</v>
      </c>
      <c r="I50" s="4">
        <v>4</v>
      </c>
      <c r="J50" s="4">
        <v>4</v>
      </c>
      <c r="K50" s="4">
        <v>26</v>
      </c>
      <c r="L50" s="4" t="s">
        <v>41</v>
      </c>
      <c r="M50" s="4">
        <v>40.53</v>
      </c>
      <c r="N50" s="4">
        <v>32.380000000000003</v>
      </c>
      <c r="O50" s="4">
        <v>28.75</v>
      </c>
      <c r="P50" s="4">
        <v>36.369999999999997</v>
      </c>
      <c r="Q50" s="4"/>
      <c r="R50" s="4">
        <v>6</v>
      </c>
      <c r="S50" s="4">
        <v>2</v>
      </c>
      <c r="T50" s="4">
        <v>4</v>
      </c>
      <c r="U50" s="4"/>
      <c r="V50" s="4"/>
      <c r="W50" s="177"/>
      <c r="X50" s="177"/>
      <c r="Z50" t="s">
        <v>381</v>
      </c>
      <c r="AA50" t="s">
        <v>369</v>
      </c>
      <c r="AB50">
        <v>2</v>
      </c>
      <c r="AC50">
        <v>3</v>
      </c>
      <c r="AD50" t="s">
        <v>382</v>
      </c>
      <c r="AE50" t="s">
        <v>375</v>
      </c>
      <c r="AF50">
        <v>0</v>
      </c>
      <c r="AG50">
        <v>0</v>
      </c>
      <c r="AH50" t="s">
        <v>449</v>
      </c>
      <c r="AI50" t="s">
        <v>369</v>
      </c>
      <c r="AJ50">
        <v>3</v>
      </c>
      <c r="AK50">
        <v>2</v>
      </c>
      <c r="AL50" t="s">
        <v>423</v>
      </c>
      <c r="AM50" t="s">
        <v>369</v>
      </c>
      <c r="AN50">
        <v>2</v>
      </c>
      <c r="AO50">
        <v>2</v>
      </c>
      <c r="AP50" t="s">
        <v>450</v>
      </c>
      <c r="AQ50" t="s">
        <v>370</v>
      </c>
      <c r="AR50">
        <v>3</v>
      </c>
      <c r="AS50">
        <v>0</v>
      </c>
      <c r="AT50" t="s">
        <v>381</v>
      </c>
      <c r="AU50" t="s">
        <v>369</v>
      </c>
      <c r="AV50">
        <v>1</v>
      </c>
      <c r="AW50">
        <v>1</v>
      </c>
      <c r="AX50" t="s">
        <v>387</v>
      </c>
      <c r="AY50" t="s">
        <v>375</v>
      </c>
      <c r="AZ50">
        <v>0</v>
      </c>
      <c r="BA50">
        <v>0</v>
      </c>
      <c r="BB50" t="s">
        <v>449</v>
      </c>
      <c r="BC50" t="s">
        <v>369</v>
      </c>
      <c r="BD50">
        <v>2</v>
      </c>
      <c r="BE50">
        <v>3</v>
      </c>
      <c r="BF50" t="s">
        <v>423</v>
      </c>
      <c r="BG50" t="s">
        <v>369</v>
      </c>
      <c r="BH50">
        <v>1</v>
      </c>
      <c r="BI50">
        <v>1</v>
      </c>
      <c r="BJ50" t="s">
        <v>386</v>
      </c>
      <c r="BK50" t="s">
        <v>370</v>
      </c>
      <c r="BL50">
        <v>2</v>
      </c>
      <c r="BM50">
        <v>0</v>
      </c>
    </row>
    <row r="51" spans="1:65" ht="17.25" customHeight="1" x14ac:dyDescent="0.2">
      <c r="A51" s="28" t="s">
        <v>105</v>
      </c>
      <c r="B51" s="28" t="s">
        <v>451</v>
      </c>
      <c r="C51" s="28" t="s">
        <v>411</v>
      </c>
      <c r="D51" s="436" t="s">
        <v>285</v>
      </c>
      <c r="E51" s="436"/>
      <c r="F51" s="31">
        <v>7</v>
      </c>
      <c r="G51" s="44" t="s">
        <v>397</v>
      </c>
      <c r="H51" s="15">
        <v>29</v>
      </c>
      <c r="I51" s="15">
        <v>12</v>
      </c>
      <c r="J51" s="15">
        <v>21</v>
      </c>
      <c r="K51" s="243">
        <v>62</v>
      </c>
      <c r="L51" s="38" t="s">
        <v>46</v>
      </c>
      <c r="M51" s="437" t="s">
        <v>285</v>
      </c>
      <c r="N51" s="437"/>
      <c r="O51" s="437"/>
      <c r="P51" s="437"/>
      <c r="Q51" s="4"/>
      <c r="R51" s="39">
        <v>21</v>
      </c>
      <c r="S51" s="174">
        <v>20</v>
      </c>
      <c r="T51" s="177">
        <v>7</v>
      </c>
      <c r="U51" s="4"/>
      <c r="V51" s="4"/>
      <c r="W51" s="177"/>
      <c r="X51" s="177"/>
      <c r="Z51" t="s">
        <v>452</v>
      </c>
      <c r="AA51" t="s">
        <v>374</v>
      </c>
      <c r="AB51">
        <v>5</v>
      </c>
      <c r="AC51">
        <v>3</v>
      </c>
      <c r="AD51" t="s">
        <v>453</v>
      </c>
      <c r="AE51" t="s">
        <v>375</v>
      </c>
      <c r="AF51">
        <v>3</v>
      </c>
      <c r="AG51">
        <v>1</v>
      </c>
      <c r="AH51" t="s">
        <v>424</v>
      </c>
      <c r="AI51" t="s">
        <v>369</v>
      </c>
      <c r="AJ51">
        <v>4</v>
      </c>
      <c r="AK51">
        <v>4</v>
      </c>
      <c r="AL51" t="s">
        <v>440</v>
      </c>
      <c r="AM51" t="s">
        <v>370</v>
      </c>
      <c r="AN51">
        <v>4</v>
      </c>
      <c r="AO51">
        <v>0</v>
      </c>
      <c r="AP51" t="s">
        <v>454</v>
      </c>
      <c r="AQ51" t="s">
        <v>455</v>
      </c>
      <c r="AR51">
        <v>3</v>
      </c>
      <c r="AS51">
        <v>2</v>
      </c>
      <c r="AT51" t="s">
        <v>452</v>
      </c>
      <c r="AU51" t="s">
        <v>374</v>
      </c>
      <c r="AV51">
        <v>4</v>
      </c>
      <c r="AW51">
        <v>4</v>
      </c>
      <c r="AX51" t="s">
        <v>453</v>
      </c>
      <c r="AY51" t="s">
        <v>375</v>
      </c>
      <c r="AZ51">
        <v>2</v>
      </c>
      <c r="BA51">
        <v>2</v>
      </c>
      <c r="BB51" t="s">
        <v>424</v>
      </c>
      <c r="BC51" t="s">
        <v>369</v>
      </c>
      <c r="BD51">
        <v>5</v>
      </c>
      <c r="BE51">
        <v>5</v>
      </c>
      <c r="BF51" t="s">
        <v>456</v>
      </c>
      <c r="BG51" t="s">
        <v>457</v>
      </c>
      <c r="BH51">
        <v>4</v>
      </c>
      <c r="BI51">
        <v>1</v>
      </c>
      <c r="BJ51" t="s">
        <v>458</v>
      </c>
      <c r="BK51" t="s">
        <v>455</v>
      </c>
      <c r="BL51">
        <v>4</v>
      </c>
      <c r="BM51">
        <v>3</v>
      </c>
    </row>
    <row r="52" spans="1:65" s="248" customFormat="1" ht="17.25" customHeight="1" x14ac:dyDescent="0.2">
      <c r="A52" s="303" t="s">
        <v>106</v>
      </c>
      <c r="B52" s="303" t="s">
        <v>459</v>
      </c>
      <c r="C52" s="303" t="s">
        <v>403</v>
      </c>
      <c r="D52" s="304">
        <v>38</v>
      </c>
      <c r="E52" s="304" t="s">
        <v>353</v>
      </c>
      <c r="F52" s="305">
        <v>1</v>
      </c>
      <c r="G52" s="337" t="s">
        <v>349</v>
      </c>
      <c r="H52" s="306">
        <v>4</v>
      </c>
      <c r="I52" s="306">
        <v>4</v>
      </c>
      <c r="J52" s="306">
        <v>6</v>
      </c>
      <c r="K52" s="307">
        <v>14</v>
      </c>
      <c r="L52" s="308" t="s">
        <v>41</v>
      </c>
      <c r="M52" s="304">
        <v>54.67</v>
      </c>
      <c r="N52" s="304">
        <v>61.25</v>
      </c>
      <c r="O52" s="304">
        <v>31.25</v>
      </c>
      <c r="P52" s="304">
        <v>53.15</v>
      </c>
      <c r="Q52" s="309"/>
      <c r="R52" s="310">
        <v>4</v>
      </c>
      <c r="S52" s="310">
        <v>1</v>
      </c>
      <c r="T52" s="311">
        <v>0</v>
      </c>
      <c r="U52" s="309"/>
      <c r="V52" s="309"/>
      <c r="W52" s="312"/>
      <c r="X52" s="312"/>
      <c r="Z52" s="248" t="s">
        <v>423</v>
      </c>
      <c r="AA52" s="248" t="s">
        <v>369</v>
      </c>
      <c r="AB52" s="248">
        <v>2</v>
      </c>
      <c r="AC52" s="248">
        <v>2</v>
      </c>
      <c r="AD52" s="248" t="s">
        <v>418</v>
      </c>
      <c r="AE52" s="248" t="s">
        <v>369</v>
      </c>
      <c r="AF52" s="248">
        <v>2</v>
      </c>
      <c r="AG52" s="248">
        <v>3</v>
      </c>
      <c r="AH52" s="248" t="s">
        <v>447</v>
      </c>
      <c r="AI52" s="248" t="s">
        <v>369</v>
      </c>
      <c r="AJ52" s="248">
        <v>2</v>
      </c>
      <c r="AK52" s="248">
        <v>3</v>
      </c>
      <c r="AL52" s="248" t="s">
        <v>431</v>
      </c>
      <c r="AM52" s="248" t="s">
        <v>460</v>
      </c>
      <c r="AN52" s="248">
        <v>3</v>
      </c>
      <c r="AO52" s="248">
        <v>0</v>
      </c>
      <c r="AP52" s="248" t="s">
        <v>461</v>
      </c>
      <c r="AQ52" s="248" t="s">
        <v>460</v>
      </c>
      <c r="AR52" s="248">
        <v>2</v>
      </c>
      <c r="AS52" s="248">
        <v>0</v>
      </c>
      <c r="AT52" s="248" t="s">
        <v>423</v>
      </c>
      <c r="AU52" s="248" t="s">
        <v>369</v>
      </c>
      <c r="AV52" s="248">
        <v>3</v>
      </c>
      <c r="AW52" s="248">
        <v>3</v>
      </c>
      <c r="AX52" s="248" t="s">
        <v>418</v>
      </c>
      <c r="AY52" s="248" t="s">
        <v>369</v>
      </c>
      <c r="AZ52" s="248">
        <v>3</v>
      </c>
      <c r="BA52" s="248">
        <v>3</v>
      </c>
      <c r="BB52" s="248" t="s">
        <v>447</v>
      </c>
      <c r="BC52" s="248" t="s">
        <v>369</v>
      </c>
      <c r="BD52" s="248">
        <v>2</v>
      </c>
      <c r="BE52" s="248">
        <v>3</v>
      </c>
      <c r="BF52" s="248" t="s">
        <v>431</v>
      </c>
      <c r="BG52" s="248" t="s">
        <v>460</v>
      </c>
      <c r="BH52" s="248">
        <v>2</v>
      </c>
      <c r="BI52" s="248">
        <v>1</v>
      </c>
      <c r="BJ52" s="248" t="s">
        <v>461</v>
      </c>
      <c r="BK52" s="248" t="s">
        <v>460</v>
      </c>
      <c r="BL52" s="248">
        <v>3</v>
      </c>
      <c r="BM52" s="248">
        <v>0</v>
      </c>
    </row>
    <row r="53" spans="1:65" ht="17.25" customHeight="1" x14ac:dyDescent="0.2">
      <c r="A53" s="28" t="s">
        <v>107</v>
      </c>
      <c r="B53" s="28" t="s">
        <v>81</v>
      </c>
      <c r="C53" s="28" t="s">
        <v>409</v>
      </c>
      <c r="D53" s="239">
        <v>34</v>
      </c>
      <c r="E53" s="239" t="s">
        <v>355</v>
      </c>
      <c r="F53" s="31">
        <v>0</v>
      </c>
      <c r="G53" s="44" t="s">
        <v>349</v>
      </c>
      <c r="H53" s="15">
        <v>29</v>
      </c>
      <c r="I53" s="15">
        <v>25</v>
      </c>
      <c r="J53" s="15">
        <v>24</v>
      </c>
      <c r="K53" s="243">
        <v>78</v>
      </c>
      <c r="L53" s="38" t="s">
        <v>46</v>
      </c>
      <c r="M53" s="239">
        <v>45.67</v>
      </c>
      <c r="N53" s="239">
        <v>37.5</v>
      </c>
      <c r="O53" s="239">
        <v>8.75</v>
      </c>
      <c r="P53" s="239">
        <v>37.78</v>
      </c>
      <c r="Q53" s="4"/>
      <c r="R53" s="39">
        <v>24</v>
      </c>
      <c r="S53" s="174">
        <v>15</v>
      </c>
      <c r="T53" s="175">
        <v>6</v>
      </c>
      <c r="U53" s="4"/>
      <c r="V53" s="4"/>
      <c r="W53" s="177"/>
      <c r="X53" s="177"/>
      <c r="Z53" t="s">
        <v>423</v>
      </c>
      <c r="AA53" t="s">
        <v>369</v>
      </c>
      <c r="AB53">
        <v>3</v>
      </c>
      <c r="AC53">
        <v>3</v>
      </c>
      <c r="AD53" t="s">
        <v>458</v>
      </c>
      <c r="AE53" t="s">
        <v>369</v>
      </c>
      <c r="AF53">
        <v>3</v>
      </c>
      <c r="AG53">
        <v>3</v>
      </c>
      <c r="AH53" t="s">
        <v>462</v>
      </c>
      <c r="AI53" t="s">
        <v>463</v>
      </c>
      <c r="AJ53">
        <v>2</v>
      </c>
      <c r="AK53">
        <v>2</v>
      </c>
      <c r="AL53" t="s">
        <v>464</v>
      </c>
      <c r="AM53" t="s">
        <v>457</v>
      </c>
      <c r="AN53">
        <v>4</v>
      </c>
      <c r="AO53">
        <v>0</v>
      </c>
      <c r="AP53" t="s">
        <v>465</v>
      </c>
      <c r="AQ53" t="s">
        <v>466</v>
      </c>
      <c r="AR53">
        <v>5</v>
      </c>
      <c r="AS53">
        <v>0</v>
      </c>
      <c r="AT53" t="s">
        <v>423</v>
      </c>
      <c r="AU53" t="s">
        <v>369</v>
      </c>
      <c r="AV53">
        <v>3</v>
      </c>
      <c r="AW53">
        <v>4</v>
      </c>
      <c r="AX53" t="s">
        <v>458</v>
      </c>
      <c r="AY53" t="s">
        <v>369</v>
      </c>
      <c r="AZ53">
        <v>3</v>
      </c>
      <c r="BA53">
        <v>5</v>
      </c>
      <c r="BB53" t="s">
        <v>462</v>
      </c>
      <c r="BC53" t="s">
        <v>369</v>
      </c>
      <c r="BD53">
        <v>3</v>
      </c>
      <c r="BE53">
        <v>4</v>
      </c>
      <c r="BF53" t="s">
        <v>464</v>
      </c>
      <c r="BG53" t="s">
        <v>371</v>
      </c>
      <c r="BH53">
        <v>0</v>
      </c>
      <c r="BI53">
        <v>5</v>
      </c>
      <c r="BJ53" t="s">
        <v>465</v>
      </c>
      <c r="BK53" t="s">
        <v>467</v>
      </c>
      <c r="BL53">
        <v>0</v>
      </c>
      <c r="BM53">
        <v>5</v>
      </c>
    </row>
    <row r="54" spans="1:65" ht="15.75" customHeight="1" x14ac:dyDescent="0.2">
      <c r="A54" s="28" t="s">
        <v>216</v>
      </c>
      <c r="B54" s="28" t="s">
        <v>217</v>
      </c>
      <c r="C54" s="28" t="s">
        <v>11</v>
      </c>
      <c r="D54" s="436" t="s">
        <v>285</v>
      </c>
      <c r="E54" s="436"/>
      <c r="F54" s="225">
        <v>11</v>
      </c>
      <c r="G54" s="338" t="s">
        <v>353</v>
      </c>
      <c r="H54">
        <v>22</v>
      </c>
      <c r="I54">
        <v>9</v>
      </c>
      <c r="J54">
        <v>26</v>
      </c>
      <c r="K54" s="225">
        <v>57</v>
      </c>
      <c r="L54" s="225" t="s">
        <v>46</v>
      </c>
      <c r="M54" s="437" t="s">
        <v>285</v>
      </c>
      <c r="N54" s="437"/>
      <c r="O54" s="437"/>
      <c r="P54" s="437"/>
      <c r="R54" s="4">
        <v>12</v>
      </c>
      <c r="S54" s="177">
        <v>22</v>
      </c>
      <c r="T54" s="4">
        <v>3</v>
      </c>
    </row>
    <row r="55" spans="1:65" ht="16" x14ac:dyDescent="0.2">
      <c r="D55" s="15"/>
      <c r="G55" s="15"/>
      <c r="H55" s="15"/>
      <c r="I55" s="15"/>
      <c r="J55" s="15"/>
      <c r="K55" s="15"/>
      <c r="L55" s="15"/>
      <c r="M55" s="15"/>
      <c r="N55" s="15"/>
      <c r="O55" s="4"/>
      <c r="P55" s="4"/>
      <c r="Q55" s="4"/>
      <c r="R55" s="4"/>
      <c r="S55" s="4"/>
      <c r="T55" s="4"/>
      <c r="U55" s="4"/>
      <c r="V55" s="4"/>
      <c r="W55" s="4"/>
      <c r="X55" s="4"/>
    </row>
    <row r="56" spans="1:65" s="3" customFormat="1" ht="16" x14ac:dyDescent="0.2">
      <c r="A56" s="2" t="s">
        <v>468</v>
      </c>
      <c r="B56" s="2"/>
      <c r="C56" s="42"/>
      <c r="D56" s="332" t="s">
        <v>122</v>
      </c>
      <c r="E56" s="2"/>
      <c r="F56" s="332" t="s">
        <v>125</v>
      </c>
      <c r="G56" s="2"/>
      <c r="H56" s="438" t="s">
        <v>126</v>
      </c>
      <c r="I56" s="438"/>
      <c r="J56" s="438"/>
      <c r="K56" s="438"/>
      <c r="L56" s="2"/>
      <c r="M56" s="438" t="s">
        <v>319</v>
      </c>
      <c r="N56" s="438"/>
      <c r="O56" s="438"/>
      <c r="P56" s="438"/>
      <c r="R56" s="41" t="s">
        <v>320</v>
      </c>
      <c r="T56" s="43"/>
      <c r="AA56" s="438" t="s">
        <v>321</v>
      </c>
      <c r="AB56" s="438"/>
      <c r="AC56" s="438"/>
      <c r="AD56" s="438"/>
      <c r="AE56" s="438"/>
      <c r="AF56" s="438"/>
      <c r="AG56" s="438"/>
      <c r="AH56" s="438"/>
      <c r="AI56" s="438"/>
      <c r="AJ56" s="438"/>
      <c r="AK56" s="438"/>
      <c r="AL56" s="438"/>
      <c r="AM56" s="438"/>
      <c r="AN56" s="438"/>
      <c r="AO56" s="438"/>
      <c r="AP56" s="438"/>
      <c r="AQ56" s="438"/>
      <c r="AR56" s="438"/>
      <c r="AS56" s="438"/>
      <c r="AT56" s="438"/>
      <c r="AU56" s="438"/>
      <c r="AV56" s="438"/>
      <c r="AW56" s="438"/>
      <c r="AX56" s="438"/>
      <c r="AY56" s="438"/>
    </row>
    <row r="57" spans="1:65" s="27" customFormat="1" ht="16" x14ac:dyDescent="0.2">
      <c r="A57" s="2" t="s">
        <v>317</v>
      </c>
      <c r="B57" s="2" t="s">
        <v>318</v>
      </c>
      <c r="C57" s="2" t="s">
        <v>6</v>
      </c>
      <c r="D57" s="23" t="s">
        <v>323</v>
      </c>
      <c r="E57" s="24" t="s">
        <v>324</v>
      </c>
      <c r="F57" s="23" t="s">
        <v>323</v>
      </c>
      <c r="G57" s="23" t="s">
        <v>324</v>
      </c>
      <c r="H57" s="23" t="s">
        <v>325</v>
      </c>
      <c r="I57" s="23" t="s">
        <v>326</v>
      </c>
      <c r="J57" s="23" t="s">
        <v>327</v>
      </c>
      <c r="K57" s="23" t="s">
        <v>323</v>
      </c>
      <c r="L57" s="25" t="s">
        <v>328</v>
      </c>
      <c r="M57" s="23" t="s">
        <v>329</v>
      </c>
      <c r="N57" s="23" t="s">
        <v>330</v>
      </c>
      <c r="O57" s="23" t="s">
        <v>331</v>
      </c>
      <c r="P57" s="26" t="s">
        <v>323</v>
      </c>
      <c r="R57" s="27" t="s">
        <v>332</v>
      </c>
      <c r="S57" s="27" t="s">
        <v>333</v>
      </c>
      <c r="T57" s="27" t="s">
        <v>334</v>
      </c>
      <c r="U57" s="27" t="s">
        <v>335</v>
      </c>
      <c r="W57" s="27" t="s">
        <v>124</v>
      </c>
      <c r="X57" s="27" t="s">
        <v>328</v>
      </c>
      <c r="AA57" s="172" t="s">
        <v>336</v>
      </c>
      <c r="AB57" s="27" t="s">
        <v>337</v>
      </c>
      <c r="AC57" s="27" t="s">
        <v>338</v>
      </c>
      <c r="AE57" s="172" t="s">
        <v>339</v>
      </c>
      <c r="AF57" s="27" t="s">
        <v>337</v>
      </c>
      <c r="AG57" s="27" t="s">
        <v>338</v>
      </c>
      <c r="AI57" s="172" t="s">
        <v>340</v>
      </c>
      <c r="AJ57" s="27" t="s">
        <v>337</v>
      </c>
      <c r="AK57" s="27" t="s">
        <v>338</v>
      </c>
      <c r="AM57" s="172" t="s">
        <v>341</v>
      </c>
      <c r="AN57" s="27" t="s">
        <v>337</v>
      </c>
      <c r="AO57" s="27" t="s">
        <v>338</v>
      </c>
      <c r="AQ57" s="172" t="s">
        <v>342</v>
      </c>
      <c r="AR57" s="27" t="s">
        <v>337</v>
      </c>
      <c r="AS57" s="27" t="s">
        <v>338</v>
      </c>
      <c r="AU57" s="172" t="s">
        <v>343</v>
      </c>
      <c r="AV57" s="27" t="s">
        <v>337</v>
      </c>
      <c r="AW57" s="27" t="s">
        <v>338</v>
      </c>
      <c r="AY57" s="172" t="s">
        <v>344</v>
      </c>
      <c r="AZ57" s="27" t="s">
        <v>337</v>
      </c>
    </row>
    <row r="59" spans="1:65" ht="16" x14ac:dyDescent="0.2">
      <c r="D59" s="15"/>
      <c r="E59" s="15"/>
      <c r="F59" s="15"/>
      <c r="G59" s="15"/>
      <c r="H59" s="15"/>
      <c r="I59" s="15"/>
      <c r="J59" s="15"/>
      <c r="K59" s="15"/>
      <c r="L59" s="15"/>
      <c r="M59" s="15"/>
      <c r="N59" s="15"/>
      <c r="O59" s="4"/>
      <c r="P59" s="4"/>
      <c r="Q59" s="4"/>
      <c r="R59" s="4"/>
      <c r="S59" s="4"/>
      <c r="T59" s="4"/>
      <c r="U59" s="4"/>
      <c r="V59" s="4"/>
      <c r="W59" s="4"/>
      <c r="X59" s="4"/>
    </row>
    <row r="60" spans="1:65" ht="16" x14ac:dyDescent="0.2">
      <c r="D60" s="15"/>
      <c r="E60" s="15"/>
      <c r="F60" s="15"/>
      <c r="G60" s="15"/>
      <c r="H60" s="15"/>
      <c r="I60" s="15"/>
      <c r="J60" s="15"/>
      <c r="K60" s="15"/>
      <c r="L60" s="15"/>
      <c r="M60" s="15"/>
      <c r="N60" s="15"/>
      <c r="O60" s="4"/>
      <c r="P60" s="4"/>
      <c r="Q60" s="4"/>
      <c r="R60" s="4"/>
      <c r="S60" s="4"/>
      <c r="T60" s="4"/>
      <c r="U60" s="4"/>
      <c r="V60" s="4"/>
      <c r="W60" s="4"/>
      <c r="X60" s="4"/>
    </row>
    <row r="61" spans="1:65" ht="16" x14ac:dyDescent="0.2">
      <c r="D61" s="15"/>
      <c r="E61" s="15"/>
      <c r="F61" s="15"/>
      <c r="G61" s="15"/>
      <c r="H61" s="15"/>
      <c r="I61" s="15"/>
      <c r="J61" s="15"/>
      <c r="K61" s="15"/>
      <c r="L61" s="15"/>
      <c r="M61" s="15"/>
      <c r="N61" s="15"/>
      <c r="O61" s="4"/>
      <c r="P61" s="4"/>
      <c r="Q61" s="4"/>
      <c r="R61" s="4"/>
      <c r="S61" s="4"/>
      <c r="T61" s="4"/>
      <c r="U61" s="4"/>
      <c r="V61" s="4"/>
      <c r="W61" s="4"/>
      <c r="X61" s="4"/>
    </row>
    <row r="62" spans="1:65" s="3" customFormat="1" ht="16" x14ac:dyDescent="0.2">
      <c r="A62" s="2" t="s">
        <v>469</v>
      </c>
      <c r="B62" s="2"/>
      <c r="C62" s="42"/>
      <c r="D62" s="332" t="s">
        <v>122</v>
      </c>
      <c r="E62" s="2"/>
      <c r="F62" s="332" t="s">
        <v>125</v>
      </c>
      <c r="G62" s="2"/>
      <c r="H62" s="438" t="s">
        <v>126</v>
      </c>
      <c r="I62" s="438"/>
      <c r="J62" s="438"/>
      <c r="K62" s="438"/>
      <c r="L62" s="2"/>
      <c r="M62" s="438" t="s">
        <v>319</v>
      </c>
      <c r="N62" s="438"/>
      <c r="O62" s="438"/>
      <c r="P62" s="438"/>
      <c r="R62" s="41" t="s">
        <v>320</v>
      </c>
      <c r="T62" s="43"/>
    </row>
    <row r="72" spans="4:16" ht="15.75" customHeight="1" x14ac:dyDescent="0.2">
      <c r="D72" s="314" t="s">
        <v>470</v>
      </c>
      <c r="E72" s="314" t="s">
        <v>471</v>
      </c>
      <c r="G72" s="1" t="s">
        <v>125</v>
      </c>
      <c r="I72" s="1" t="s">
        <v>126</v>
      </c>
      <c r="J72" s="1"/>
      <c r="K72" s="157" t="s">
        <v>472</v>
      </c>
      <c r="L72" s="1"/>
      <c r="M72" s="157" t="s">
        <v>473</v>
      </c>
      <c r="O72" s="1" t="s">
        <v>474</v>
      </c>
      <c r="P72" s="1" t="s">
        <v>475</v>
      </c>
    </row>
    <row r="73" spans="4:16" ht="15.75" customHeight="1" x14ac:dyDescent="0.2">
      <c r="D73" s="14" t="s">
        <v>476</v>
      </c>
      <c r="E73" s="14" t="s">
        <v>477</v>
      </c>
      <c r="G73" t="s">
        <v>478</v>
      </c>
      <c r="H73" t="s">
        <v>479</v>
      </c>
      <c r="I73" s="44" t="s">
        <v>480</v>
      </c>
      <c r="J73" t="s">
        <v>481</v>
      </c>
      <c r="K73" s="155" t="s">
        <v>482</v>
      </c>
      <c r="L73" s="155" t="s">
        <v>483</v>
      </c>
      <c r="M73" s="44" t="s">
        <v>484</v>
      </c>
      <c r="N73" t="s">
        <v>485</v>
      </c>
      <c r="O73" t="s">
        <v>486</v>
      </c>
      <c r="P73" s="160" t="s">
        <v>487</v>
      </c>
    </row>
    <row r="74" spans="4:16" ht="15.75" customHeight="1" x14ac:dyDescent="0.2">
      <c r="D74" s="315" t="s">
        <v>488</v>
      </c>
      <c r="E74" s="315" t="s">
        <v>489</v>
      </c>
      <c r="G74" t="s">
        <v>490</v>
      </c>
      <c r="H74" s="155" t="s">
        <v>491</v>
      </c>
      <c r="I74" s="30" t="s">
        <v>492</v>
      </c>
      <c r="J74" s="30" t="s">
        <v>493</v>
      </c>
      <c r="K74" s="44" t="s">
        <v>494</v>
      </c>
      <c r="L74" s="155" t="s">
        <v>495</v>
      </c>
      <c r="M74" s="162" t="s">
        <v>496</v>
      </c>
      <c r="N74" s="22" t="s">
        <v>497</v>
      </c>
      <c r="P74" t="s">
        <v>498</v>
      </c>
    </row>
    <row r="75" spans="4:16" ht="15.75" customHeight="1" x14ac:dyDescent="0.2">
      <c r="D75" s="315" t="s">
        <v>499</v>
      </c>
      <c r="E75" s="315" t="s">
        <v>500</v>
      </c>
      <c r="G75" s="30" t="s">
        <v>501</v>
      </c>
      <c r="H75" s="30" t="s">
        <v>502</v>
      </c>
      <c r="K75" s="30" t="s">
        <v>499</v>
      </c>
      <c r="L75" s="30" t="s">
        <v>503</v>
      </c>
      <c r="M75" s="159" t="s">
        <v>504</v>
      </c>
      <c r="N75" s="30" t="s">
        <v>505</v>
      </c>
      <c r="O75" s="30" t="s">
        <v>506</v>
      </c>
      <c r="P75" s="30" t="s">
        <v>507</v>
      </c>
    </row>
    <row r="76" spans="4:16" ht="15.75" customHeight="1" x14ac:dyDescent="0.2">
      <c r="D76" s="315" t="s">
        <v>508</v>
      </c>
      <c r="E76" s="315" t="s">
        <v>509</v>
      </c>
      <c r="G76" s="30" t="s">
        <v>510</v>
      </c>
      <c r="H76" s="30" t="s">
        <v>511</v>
      </c>
      <c r="K76" s="30" t="s">
        <v>508</v>
      </c>
      <c r="L76" s="30" t="s">
        <v>512</v>
      </c>
      <c r="M76" s="159" t="s">
        <v>513</v>
      </c>
      <c r="N76" s="30" t="s">
        <v>514</v>
      </c>
      <c r="O76" s="30" t="s">
        <v>515</v>
      </c>
      <c r="P76" s="30" t="s">
        <v>516</v>
      </c>
    </row>
    <row r="77" spans="4:16" ht="15.75" customHeight="1" x14ac:dyDescent="0.2">
      <c r="G77" s="30" t="s">
        <v>517</v>
      </c>
      <c r="H77" s="30" t="s">
        <v>518</v>
      </c>
      <c r="K77" s="30" t="s">
        <v>519</v>
      </c>
      <c r="L77" s="30" t="s">
        <v>520</v>
      </c>
      <c r="M77" s="159" t="s">
        <v>521</v>
      </c>
      <c r="N77" s="30" t="s">
        <v>522</v>
      </c>
      <c r="O77" s="30" t="s">
        <v>523</v>
      </c>
      <c r="P77" s="30" t="s">
        <v>524</v>
      </c>
    </row>
    <row r="78" spans="4:16" ht="15.75" customHeight="1" x14ac:dyDescent="0.2">
      <c r="G78" t="s">
        <v>525</v>
      </c>
      <c r="O78" s="30" t="s">
        <v>526</v>
      </c>
      <c r="P78" s="30" t="s">
        <v>527</v>
      </c>
    </row>
    <row r="79" spans="4:16" ht="15.75" customHeight="1" x14ac:dyDescent="0.2">
      <c r="O79" s="30" t="s">
        <v>528</v>
      </c>
      <c r="P79" s="30" t="s">
        <v>529</v>
      </c>
    </row>
    <row r="80" spans="4:16" ht="15.75" customHeight="1" x14ac:dyDescent="0.2">
      <c r="O80" s="30" t="s">
        <v>530</v>
      </c>
      <c r="P80" s="30" t="s">
        <v>531</v>
      </c>
    </row>
    <row r="81" spans="15:16" ht="15.75" customHeight="1" x14ac:dyDescent="0.2">
      <c r="O81" s="30" t="s">
        <v>532</v>
      </c>
      <c r="P81" s="30" t="s">
        <v>533</v>
      </c>
    </row>
    <row r="82" spans="15:16" ht="15.75" customHeight="1" x14ac:dyDescent="0.2">
      <c r="O82" s="161" t="s">
        <v>534</v>
      </c>
    </row>
  </sheetData>
  <mergeCells count="85">
    <mergeCell ref="W2:X2"/>
    <mergeCell ref="W26:X26"/>
    <mergeCell ref="D45:E45"/>
    <mergeCell ref="M45:P45"/>
    <mergeCell ref="AA2:AY2"/>
    <mergeCell ref="AA26:AY26"/>
    <mergeCell ref="D33:E33"/>
    <mergeCell ref="D32:E32"/>
    <mergeCell ref="M32:P32"/>
    <mergeCell ref="M33:P33"/>
    <mergeCell ref="D34:E34"/>
    <mergeCell ref="M34:P34"/>
    <mergeCell ref="D6:E6"/>
    <mergeCell ref="M6:P6"/>
    <mergeCell ref="D7:E7"/>
    <mergeCell ref="M7:P7"/>
    <mergeCell ref="AA56:AY56"/>
    <mergeCell ref="D35:E35"/>
    <mergeCell ref="M35:P35"/>
    <mergeCell ref="D36:E36"/>
    <mergeCell ref="M36:P36"/>
    <mergeCell ref="D42:E42"/>
    <mergeCell ref="M42:P42"/>
    <mergeCell ref="D43:E43"/>
    <mergeCell ref="M43:P43"/>
    <mergeCell ref="D44:E44"/>
    <mergeCell ref="M44:P44"/>
    <mergeCell ref="D39:E39"/>
    <mergeCell ref="M39:P39"/>
    <mergeCell ref="D40:E40"/>
    <mergeCell ref="M40:P40"/>
    <mergeCell ref="D41:E41"/>
    <mergeCell ref="D8:E8"/>
    <mergeCell ref="M8:P8"/>
    <mergeCell ref="H2:K2"/>
    <mergeCell ref="M2:P2"/>
    <mergeCell ref="D4:E4"/>
    <mergeCell ref="M4:P4"/>
    <mergeCell ref="D5:E5"/>
    <mergeCell ref="M5:P5"/>
    <mergeCell ref="D9:E9"/>
    <mergeCell ref="M9:P9"/>
    <mergeCell ref="D10:E10"/>
    <mergeCell ref="M10:P10"/>
    <mergeCell ref="D11:E11"/>
    <mergeCell ref="M11:P11"/>
    <mergeCell ref="D12:E12"/>
    <mergeCell ref="M12:P12"/>
    <mergeCell ref="D13:E13"/>
    <mergeCell ref="M13:P13"/>
    <mergeCell ref="D14:E14"/>
    <mergeCell ref="M14:P14"/>
    <mergeCell ref="D15:E15"/>
    <mergeCell ref="M15:P15"/>
    <mergeCell ref="D16:E16"/>
    <mergeCell ref="M16:P16"/>
    <mergeCell ref="D17:E17"/>
    <mergeCell ref="M17:P17"/>
    <mergeCell ref="D18:E18"/>
    <mergeCell ref="M18:P18"/>
    <mergeCell ref="D19:E19"/>
    <mergeCell ref="M19:P19"/>
    <mergeCell ref="M29:P29"/>
    <mergeCell ref="H26:K26"/>
    <mergeCell ref="M26:P26"/>
    <mergeCell ref="D29:E29"/>
    <mergeCell ref="D21:E21"/>
    <mergeCell ref="M21:P21"/>
    <mergeCell ref="D20:E20"/>
    <mergeCell ref="M20:P20"/>
    <mergeCell ref="D24:E24"/>
    <mergeCell ref="M24:P24"/>
    <mergeCell ref="D23:E23"/>
    <mergeCell ref="M23:P23"/>
    <mergeCell ref="D22:E22"/>
    <mergeCell ref="M22:P22"/>
    <mergeCell ref="D54:E54"/>
    <mergeCell ref="M54:P54"/>
    <mergeCell ref="H62:K62"/>
    <mergeCell ref="M62:P62"/>
    <mergeCell ref="M41:P41"/>
    <mergeCell ref="D51:E51"/>
    <mergeCell ref="M51:P51"/>
    <mergeCell ref="H56:K56"/>
    <mergeCell ref="M56:P56"/>
  </mergeCells>
  <hyperlinks>
    <hyperlink ref="O82" r:id="rId1" location="R6" xr:uid="{D635BDF2-2A34-4019-A374-79C74C4768CC}"/>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D7889-3EDB-4030-A0E2-1496E906F5E6}">
  <dimension ref="A1:AF101"/>
  <sheetViews>
    <sheetView zoomScale="80" zoomScaleNormal="80" workbookViewId="0">
      <pane xSplit="1" topLeftCell="B1" activePane="topRight" state="frozen"/>
      <selection pane="topRight" activeCell="B40" sqref="B40"/>
    </sheetView>
  </sheetViews>
  <sheetFormatPr baseColWidth="10" defaultColWidth="11.5" defaultRowHeight="15.75" customHeight="1" x14ac:dyDescent="0.2"/>
  <cols>
    <col min="1" max="1" width="11.5" style="28"/>
    <col min="2" max="2" width="11.83203125" style="28" customWidth="1"/>
    <col min="3" max="3" width="7.1640625" style="28" customWidth="1"/>
    <col min="4" max="4" width="6.6640625" style="28" customWidth="1"/>
    <col min="5" max="5" width="5.83203125" style="28" customWidth="1"/>
    <col min="6" max="6" width="6.33203125" style="28" customWidth="1"/>
    <col min="7" max="7" width="5.6640625" style="28" customWidth="1"/>
    <col min="8" max="9" width="6.33203125" style="28" customWidth="1"/>
    <col min="10" max="10" width="7.1640625" style="28" customWidth="1"/>
    <col min="11" max="11" width="14" customWidth="1"/>
    <col min="12" max="12" width="9"/>
    <col min="13" max="13" width="11.1640625" customWidth="1"/>
    <col min="14" max="14" width="9"/>
    <col min="15" max="15" width="16.5" customWidth="1"/>
    <col min="16" max="17" width="14.5" customWidth="1"/>
    <col min="18" max="19" width="13.5" customWidth="1"/>
    <col min="20" max="20" width="12.1640625" customWidth="1"/>
    <col min="21" max="21" width="9" customWidth="1"/>
    <col min="22" max="22" width="8.83203125" customWidth="1"/>
    <col min="23" max="23" width="10.5" customWidth="1"/>
    <col min="24" max="24" width="9"/>
    <col min="25" max="26" width="9.83203125" customWidth="1"/>
    <col min="27" max="27" width="9.33203125" customWidth="1"/>
  </cols>
  <sheetData>
    <row r="1" spans="1:31" ht="16" x14ac:dyDescent="0.2">
      <c r="O1" s="225" t="s">
        <v>535</v>
      </c>
      <c r="P1" s="99" t="s">
        <v>164</v>
      </c>
    </row>
    <row r="2" spans="1:31" s="3" customFormat="1" ht="17.25" customHeight="1" x14ac:dyDescent="0.2">
      <c r="A2" s="2" t="s">
        <v>391</v>
      </c>
      <c r="B2" s="332" t="s">
        <v>318</v>
      </c>
      <c r="C2" s="438" t="s">
        <v>6</v>
      </c>
      <c r="D2" s="438"/>
      <c r="E2" s="438"/>
      <c r="F2" s="438"/>
      <c r="G2" s="438"/>
      <c r="H2" s="438"/>
      <c r="I2" s="332"/>
      <c r="J2" s="332"/>
      <c r="K2" s="332" t="s">
        <v>122</v>
      </c>
      <c r="L2" s="2"/>
      <c r="M2" s="332" t="s">
        <v>125</v>
      </c>
      <c r="N2" s="2"/>
      <c r="O2" s="438" t="s">
        <v>126</v>
      </c>
      <c r="P2" s="438"/>
      <c r="Q2" s="438"/>
      <c r="R2" s="438"/>
      <c r="S2" s="2"/>
      <c r="T2" s="438" t="s">
        <v>319</v>
      </c>
      <c r="U2" s="438"/>
      <c r="V2" s="438"/>
      <c r="W2" s="438"/>
      <c r="Y2" s="41" t="s">
        <v>320</v>
      </c>
      <c r="AD2" s="439" t="s">
        <v>124</v>
      </c>
      <c r="AE2" s="439"/>
    </row>
    <row r="3" spans="1:31" s="27" customFormat="1" ht="17.25" customHeight="1" x14ac:dyDescent="0.2">
      <c r="A3" s="23"/>
      <c r="B3" s="23"/>
      <c r="C3" s="24" t="s">
        <v>310</v>
      </c>
      <c r="D3" s="24" t="s">
        <v>125</v>
      </c>
      <c r="E3" s="24" t="s">
        <v>536</v>
      </c>
      <c r="F3" s="24" t="s">
        <v>537</v>
      </c>
      <c r="G3" s="24" t="s">
        <v>538</v>
      </c>
      <c r="H3" s="24" t="s">
        <v>539</v>
      </c>
      <c r="I3" s="24" t="s">
        <v>667</v>
      </c>
      <c r="J3" s="24" t="s">
        <v>540</v>
      </c>
      <c r="K3" s="23" t="s">
        <v>323</v>
      </c>
      <c r="L3" s="24" t="s">
        <v>324</v>
      </c>
      <c r="M3" s="23" t="s">
        <v>323</v>
      </c>
      <c r="N3" s="23" t="s">
        <v>324</v>
      </c>
      <c r="O3" s="23" t="s">
        <v>325</v>
      </c>
      <c r="P3" s="23" t="s">
        <v>326</v>
      </c>
      <c r="Q3" s="23" t="s">
        <v>327</v>
      </c>
      <c r="R3" s="23" t="s">
        <v>323</v>
      </c>
      <c r="S3" s="25" t="s">
        <v>328</v>
      </c>
      <c r="T3" s="23" t="s">
        <v>329</v>
      </c>
      <c r="U3" s="23" t="s">
        <v>330</v>
      </c>
      <c r="V3" s="23" t="s">
        <v>331</v>
      </c>
      <c r="W3" s="26" t="s">
        <v>323</v>
      </c>
      <c r="Y3" s="27" t="s">
        <v>332</v>
      </c>
      <c r="Z3" s="27" t="s">
        <v>333</v>
      </c>
      <c r="AA3" s="27" t="s">
        <v>334</v>
      </c>
      <c r="AB3" s="27" t="s">
        <v>647</v>
      </c>
      <c r="AD3" s="27" t="s">
        <v>124</v>
      </c>
      <c r="AE3" s="27" t="s">
        <v>328</v>
      </c>
    </row>
    <row r="4" spans="1:31" ht="16.5" customHeight="1" x14ac:dyDescent="0.2">
      <c r="A4" s="28" t="s">
        <v>56</v>
      </c>
      <c r="C4" s="386">
        <v>0</v>
      </c>
      <c r="D4" s="392">
        <v>0</v>
      </c>
      <c r="E4" s="385">
        <v>1</v>
      </c>
      <c r="F4" s="385">
        <v>1</v>
      </c>
      <c r="G4" s="385">
        <v>1</v>
      </c>
      <c r="H4" s="385">
        <v>1</v>
      </c>
      <c r="I4" s="385"/>
      <c r="J4" s="384"/>
      <c r="K4" s="15">
        <v>34</v>
      </c>
      <c r="L4" s="15" t="s">
        <v>355</v>
      </c>
      <c r="M4" s="15">
        <v>5</v>
      </c>
      <c r="N4" s="15" t="s">
        <v>397</v>
      </c>
      <c r="O4" s="15">
        <v>21</v>
      </c>
      <c r="P4" s="15">
        <v>0</v>
      </c>
      <c r="Q4" s="15">
        <v>21</v>
      </c>
      <c r="R4" s="317">
        <v>42</v>
      </c>
      <c r="S4" s="38" t="s">
        <v>46</v>
      </c>
      <c r="T4" s="15">
        <v>19</v>
      </c>
      <c r="U4" s="15">
        <v>6.25</v>
      </c>
      <c r="V4" s="4">
        <v>43.75</v>
      </c>
      <c r="W4" s="4">
        <v>18.89</v>
      </c>
      <c r="X4" s="4"/>
      <c r="Y4" s="39">
        <v>18</v>
      </c>
      <c r="Z4" s="4">
        <v>10</v>
      </c>
      <c r="AA4" s="39">
        <v>11</v>
      </c>
      <c r="AB4">
        <f>SUM(Y4:AA4)</f>
        <v>39</v>
      </c>
      <c r="AD4" s="383"/>
      <c r="AE4" s="383"/>
    </row>
    <row r="5" spans="1:31" ht="16" x14ac:dyDescent="0.2">
      <c r="A5" s="28" t="s">
        <v>83</v>
      </c>
      <c r="B5" s="28" t="s">
        <v>398</v>
      </c>
      <c r="C5" s="386">
        <v>0</v>
      </c>
      <c r="D5" s="392">
        <v>0</v>
      </c>
      <c r="E5" s="386">
        <v>0</v>
      </c>
      <c r="F5" s="386">
        <v>0</v>
      </c>
      <c r="G5" s="385">
        <v>1</v>
      </c>
      <c r="H5" s="386">
        <v>0</v>
      </c>
      <c r="I5" s="386"/>
      <c r="J5" s="384"/>
      <c r="K5" s="442" t="s">
        <v>285</v>
      </c>
      <c r="L5" s="442"/>
      <c r="M5" s="15">
        <v>5</v>
      </c>
      <c r="N5" s="15" t="s">
        <v>397</v>
      </c>
      <c r="O5" s="15">
        <v>17</v>
      </c>
      <c r="P5" s="15">
        <v>7</v>
      </c>
      <c r="Q5" s="15">
        <v>9</v>
      </c>
      <c r="R5" s="38">
        <v>33</v>
      </c>
      <c r="S5" s="38" t="s">
        <v>46</v>
      </c>
      <c r="T5" s="437" t="s">
        <v>285</v>
      </c>
      <c r="U5" s="437"/>
      <c r="V5" s="437"/>
      <c r="W5" s="437"/>
      <c r="X5" s="4"/>
      <c r="Y5" s="4">
        <v>11</v>
      </c>
      <c r="Z5" s="4">
        <v>7</v>
      </c>
      <c r="AA5" s="4">
        <v>3</v>
      </c>
      <c r="AB5">
        <f t="shared" ref="AB5:AB35" si="0">SUM(Y5:AA5)</f>
        <v>21</v>
      </c>
      <c r="AC5" s="4"/>
      <c r="AD5" s="4"/>
      <c r="AE5" s="4"/>
    </row>
    <row r="6" spans="1:31" ht="16" x14ac:dyDescent="0.2">
      <c r="A6" s="28" t="s">
        <v>84</v>
      </c>
      <c r="B6" s="28" t="s">
        <v>399</v>
      </c>
      <c r="C6" s="386">
        <v>0</v>
      </c>
      <c r="D6" s="393">
        <v>1</v>
      </c>
      <c r="E6" s="386">
        <v>0</v>
      </c>
      <c r="F6" s="385">
        <v>1</v>
      </c>
      <c r="G6" s="385">
        <v>1</v>
      </c>
      <c r="H6" s="385">
        <v>1</v>
      </c>
      <c r="I6" s="385"/>
      <c r="J6" s="29"/>
      <c r="K6" s="15">
        <v>48</v>
      </c>
      <c r="L6" s="15" t="s">
        <v>353</v>
      </c>
      <c r="M6" s="38">
        <v>19</v>
      </c>
      <c r="N6" s="38" t="s">
        <v>401</v>
      </c>
      <c r="O6" s="15">
        <v>24</v>
      </c>
      <c r="P6" s="15">
        <v>30</v>
      </c>
      <c r="Q6" s="15">
        <v>32</v>
      </c>
      <c r="R6" s="317">
        <v>86</v>
      </c>
      <c r="S6" s="38" t="s">
        <v>46</v>
      </c>
      <c r="T6" s="15">
        <v>31</v>
      </c>
      <c r="U6" s="15">
        <v>37.5</v>
      </c>
      <c r="V6" s="4">
        <v>28.75</v>
      </c>
      <c r="W6" s="4">
        <v>32.590000000000003</v>
      </c>
      <c r="X6" s="4"/>
      <c r="Y6" s="39">
        <v>14</v>
      </c>
      <c r="Z6" s="177">
        <v>20</v>
      </c>
      <c r="AA6" s="39">
        <v>8</v>
      </c>
      <c r="AB6">
        <f t="shared" si="0"/>
        <v>42</v>
      </c>
      <c r="AC6" s="4"/>
      <c r="AD6" s="316"/>
      <c r="AE6" s="4"/>
    </row>
    <row r="7" spans="1:31" ht="16" x14ac:dyDescent="0.2">
      <c r="A7" s="28" t="s">
        <v>85</v>
      </c>
      <c r="B7" s="28" t="s">
        <v>402</v>
      </c>
      <c r="C7" s="386">
        <v>0</v>
      </c>
      <c r="D7" s="392">
        <v>0</v>
      </c>
      <c r="E7" s="385">
        <v>1</v>
      </c>
      <c r="F7" s="385">
        <v>1</v>
      </c>
      <c r="G7" s="386">
        <v>0</v>
      </c>
      <c r="H7" s="386">
        <v>0</v>
      </c>
      <c r="I7" s="386"/>
      <c r="J7" s="29"/>
      <c r="K7" s="15">
        <v>22</v>
      </c>
      <c r="L7" s="15" t="s">
        <v>355</v>
      </c>
      <c r="M7" s="15">
        <v>6</v>
      </c>
      <c r="N7" s="15" t="s">
        <v>397</v>
      </c>
      <c r="O7" s="15">
        <v>4</v>
      </c>
      <c r="P7" s="15">
        <v>5</v>
      </c>
      <c r="Q7" s="15">
        <v>14</v>
      </c>
      <c r="R7" s="15">
        <v>23</v>
      </c>
      <c r="S7" s="15" t="s">
        <v>41</v>
      </c>
      <c r="T7" s="15">
        <v>26</v>
      </c>
      <c r="U7" s="15">
        <v>16.25</v>
      </c>
      <c r="V7" s="4">
        <v>15</v>
      </c>
      <c r="W7" s="4">
        <v>21.48</v>
      </c>
      <c r="X7" s="4"/>
      <c r="Y7" s="4">
        <v>13</v>
      </c>
      <c r="Z7" s="4">
        <v>11</v>
      </c>
      <c r="AA7" s="4">
        <v>6</v>
      </c>
      <c r="AB7">
        <f t="shared" si="0"/>
        <v>30</v>
      </c>
      <c r="AC7" s="4"/>
      <c r="AD7" s="101"/>
      <c r="AE7" s="4"/>
    </row>
    <row r="8" spans="1:31" ht="16" x14ac:dyDescent="0.2">
      <c r="A8" s="28" t="s">
        <v>86</v>
      </c>
      <c r="B8" s="28" t="s">
        <v>404</v>
      </c>
      <c r="C8" s="386">
        <v>0</v>
      </c>
      <c r="D8" s="393">
        <v>1</v>
      </c>
      <c r="E8" s="386">
        <v>0</v>
      </c>
      <c r="F8" s="386">
        <v>0</v>
      </c>
      <c r="G8" s="385">
        <v>1</v>
      </c>
      <c r="H8" s="386">
        <v>0</v>
      </c>
      <c r="I8" s="386"/>
      <c r="J8" s="29"/>
      <c r="K8" s="442" t="s">
        <v>285</v>
      </c>
      <c r="L8" s="442"/>
      <c r="M8" s="38">
        <v>18</v>
      </c>
      <c r="N8" s="38" t="s">
        <v>401</v>
      </c>
      <c r="O8" s="15">
        <v>20</v>
      </c>
      <c r="P8" s="15">
        <v>17</v>
      </c>
      <c r="Q8" s="15">
        <v>14</v>
      </c>
      <c r="R8" s="38">
        <v>51</v>
      </c>
      <c r="S8" s="38" t="s">
        <v>46</v>
      </c>
      <c r="T8" s="437" t="s">
        <v>285</v>
      </c>
      <c r="U8" s="437"/>
      <c r="V8" s="437"/>
      <c r="W8" s="437"/>
      <c r="X8" s="4"/>
      <c r="Y8" s="39">
        <v>15</v>
      </c>
      <c r="Z8" s="177">
        <v>21</v>
      </c>
      <c r="AA8" s="4">
        <v>6</v>
      </c>
      <c r="AB8">
        <f t="shared" si="0"/>
        <v>42</v>
      </c>
      <c r="AC8" s="4"/>
      <c r="AD8" s="4"/>
      <c r="AE8" s="4"/>
    </row>
    <row r="9" spans="1:31" ht="16" x14ac:dyDescent="0.2">
      <c r="A9" s="28" t="s">
        <v>87</v>
      </c>
      <c r="B9" s="28" t="s">
        <v>405</v>
      </c>
      <c r="C9" s="386">
        <v>0</v>
      </c>
      <c r="D9" s="392">
        <v>0</v>
      </c>
      <c r="E9" s="385">
        <v>1</v>
      </c>
      <c r="F9" s="386">
        <v>0</v>
      </c>
      <c r="G9" s="386">
        <v>0</v>
      </c>
      <c r="H9" s="386">
        <v>0</v>
      </c>
      <c r="I9" s="386"/>
      <c r="J9" s="29"/>
      <c r="K9" s="442" t="s">
        <v>285</v>
      </c>
      <c r="L9" s="442"/>
      <c r="M9" s="15">
        <v>0</v>
      </c>
      <c r="N9" s="4" t="s">
        <v>349</v>
      </c>
      <c r="O9" s="15">
        <v>0</v>
      </c>
      <c r="P9" s="15">
        <v>5</v>
      </c>
      <c r="Q9" s="15">
        <v>11</v>
      </c>
      <c r="R9" s="15">
        <v>16</v>
      </c>
      <c r="S9" s="15" t="s">
        <v>41</v>
      </c>
      <c r="T9" s="437" t="s">
        <v>285</v>
      </c>
      <c r="U9" s="437"/>
      <c r="V9" s="437"/>
      <c r="W9" s="437"/>
      <c r="X9" s="4"/>
      <c r="Y9" s="4">
        <v>7</v>
      </c>
      <c r="Z9" s="4">
        <v>0</v>
      </c>
      <c r="AA9" s="4">
        <v>0</v>
      </c>
      <c r="AB9">
        <f t="shared" si="0"/>
        <v>7</v>
      </c>
      <c r="AC9" s="4"/>
      <c r="AD9" s="316"/>
      <c r="AE9" s="4"/>
    </row>
    <row r="10" spans="1:31" ht="16" x14ac:dyDescent="0.2">
      <c r="A10" s="28" t="s">
        <v>88</v>
      </c>
      <c r="B10" s="28" t="s">
        <v>62</v>
      </c>
      <c r="C10" s="386">
        <v>0</v>
      </c>
      <c r="D10" s="393">
        <v>1</v>
      </c>
      <c r="E10" s="386">
        <v>0</v>
      </c>
      <c r="F10" s="386">
        <v>0</v>
      </c>
      <c r="G10" s="385">
        <v>1</v>
      </c>
      <c r="H10" s="386">
        <v>0</v>
      </c>
      <c r="I10" s="386"/>
      <c r="J10" s="29"/>
      <c r="K10" s="442" t="s">
        <v>285</v>
      </c>
      <c r="L10" s="442"/>
      <c r="M10" s="38">
        <v>12</v>
      </c>
      <c r="N10" s="38" t="s">
        <v>353</v>
      </c>
      <c r="O10" s="15">
        <v>20</v>
      </c>
      <c r="P10" s="15">
        <v>19</v>
      </c>
      <c r="Q10" s="15">
        <v>20</v>
      </c>
      <c r="R10" s="317">
        <v>59</v>
      </c>
      <c r="S10" s="38" t="s">
        <v>46</v>
      </c>
      <c r="T10" s="437" t="s">
        <v>285</v>
      </c>
      <c r="U10" s="437"/>
      <c r="V10" s="437"/>
      <c r="W10" s="437"/>
      <c r="X10" s="4"/>
      <c r="Y10" s="39">
        <v>14</v>
      </c>
      <c r="Z10" s="4">
        <v>16</v>
      </c>
      <c r="AA10" s="4">
        <v>6</v>
      </c>
      <c r="AB10">
        <f t="shared" si="0"/>
        <v>36</v>
      </c>
      <c r="AC10" s="4"/>
      <c r="AD10" s="101"/>
      <c r="AE10" s="4"/>
    </row>
    <row r="11" spans="1:31" ht="16" x14ac:dyDescent="0.2">
      <c r="A11" s="28" t="s">
        <v>89</v>
      </c>
      <c r="B11" s="28" t="s">
        <v>407</v>
      </c>
      <c r="C11" s="386">
        <v>0</v>
      </c>
      <c r="D11" s="394">
        <v>1</v>
      </c>
      <c r="E11" s="385">
        <v>1</v>
      </c>
      <c r="F11" s="386">
        <v>0</v>
      </c>
      <c r="G11" s="386">
        <v>0</v>
      </c>
      <c r="H11" s="386">
        <v>0</v>
      </c>
      <c r="I11" s="386"/>
      <c r="J11" s="29"/>
      <c r="K11" s="442" t="s">
        <v>285</v>
      </c>
      <c r="L11" s="442"/>
      <c r="M11" s="39">
        <v>14</v>
      </c>
      <c r="N11" s="39" t="s">
        <v>353</v>
      </c>
      <c r="O11" s="4">
        <v>11</v>
      </c>
      <c r="P11" s="4">
        <v>2</v>
      </c>
      <c r="Q11" s="4">
        <v>8</v>
      </c>
      <c r="R11" s="4">
        <v>21</v>
      </c>
      <c r="S11" s="15" t="s">
        <v>41</v>
      </c>
      <c r="T11" s="437" t="s">
        <v>285</v>
      </c>
      <c r="U11" s="437"/>
      <c r="V11" s="437"/>
      <c r="W11" s="437"/>
      <c r="Y11" s="39">
        <v>15</v>
      </c>
      <c r="Z11" s="4">
        <v>8</v>
      </c>
      <c r="AA11" s="4">
        <v>4</v>
      </c>
      <c r="AB11">
        <f t="shared" si="0"/>
        <v>27</v>
      </c>
      <c r="AD11" s="4"/>
      <c r="AE11" s="4"/>
    </row>
    <row r="12" spans="1:31" ht="16" x14ac:dyDescent="0.2">
      <c r="A12" s="28" t="s">
        <v>90</v>
      </c>
      <c r="B12" s="28" t="s">
        <v>408</v>
      </c>
      <c r="C12" s="386">
        <v>0</v>
      </c>
      <c r="D12" s="395">
        <v>1</v>
      </c>
      <c r="E12" s="386">
        <v>0</v>
      </c>
      <c r="F12" s="386">
        <v>0</v>
      </c>
      <c r="G12" s="385">
        <v>1</v>
      </c>
      <c r="H12" s="386">
        <v>0</v>
      </c>
      <c r="I12" s="386"/>
      <c r="J12" s="29"/>
      <c r="K12" s="442" t="s">
        <v>285</v>
      </c>
      <c r="L12" s="442"/>
      <c r="M12" s="39">
        <v>11</v>
      </c>
      <c r="N12" s="39" t="s">
        <v>353</v>
      </c>
      <c r="O12" s="4">
        <v>17</v>
      </c>
      <c r="P12" s="4">
        <v>7</v>
      </c>
      <c r="Q12" s="4">
        <v>19</v>
      </c>
      <c r="R12" s="318">
        <v>43</v>
      </c>
      <c r="S12" s="39" t="s">
        <v>46</v>
      </c>
      <c r="T12" s="437" t="s">
        <v>285</v>
      </c>
      <c r="U12" s="437"/>
      <c r="V12" s="437"/>
      <c r="W12" s="437"/>
      <c r="Y12" s="39">
        <v>20</v>
      </c>
      <c r="Z12" s="4">
        <v>15</v>
      </c>
      <c r="AA12" s="4">
        <v>6</v>
      </c>
      <c r="AB12">
        <f t="shared" si="0"/>
        <v>41</v>
      </c>
      <c r="AD12" s="316"/>
      <c r="AE12" s="316"/>
    </row>
    <row r="13" spans="1:31" ht="16" x14ac:dyDescent="0.2">
      <c r="A13" s="28" t="s">
        <v>91</v>
      </c>
      <c r="B13" s="28" t="s">
        <v>65</v>
      </c>
      <c r="C13" s="386">
        <v>0</v>
      </c>
      <c r="D13" s="392">
        <v>0</v>
      </c>
      <c r="E13" s="385">
        <v>1</v>
      </c>
      <c r="F13" s="385">
        <v>1</v>
      </c>
      <c r="G13" s="385">
        <v>1</v>
      </c>
      <c r="H13" s="385">
        <v>1</v>
      </c>
      <c r="I13" s="385"/>
      <c r="J13" s="29"/>
      <c r="K13" s="15">
        <v>32</v>
      </c>
      <c r="L13" s="15" t="s">
        <v>353</v>
      </c>
      <c r="M13" s="15">
        <v>6</v>
      </c>
      <c r="N13" s="15" t="s">
        <v>397</v>
      </c>
      <c r="O13" s="15">
        <v>29</v>
      </c>
      <c r="P13" s="15">
        <v>21</v>
      </c>
      <c r="Q13" s="15">
        <v>29</v>
      </c>
      <c r="R13" s="38">
        <v>79</v>
      </c>
      <c r="S13" s="38" t="s">
        <v>46</v>
      </c>
      <c r="T13" s="15">
        <v>48</v>
      </c>
      <c r="U13" s="15">
        <v>32.5</v>
      </c>
      <c r="V13" s="15">
        <v>15</v>
      </c>
      <c r="W13" s="15">
        <v>38.520000000000003</v>
      </c>
      <c r="X13" s="4"/>
      <c r="Y13" s="38">
        <v>22</v>
      </c>
      <c r="Z13" s="15">
        <v>16</v>
      </c>
      <c r="AA13" s="38">
        <v>9</v>
      </c>
      <c r="AB13">
        <f t="shared" si="0"/>
        <v>47</v>
      </c>
      <c r="AC13" s="4"/>
      <c r="AD13" s="101"/>
      <c r="AE13" s="316"/>
    </row>
    <row r="14" spans="1:31" ht="16" x14ac:dyDescent="0.2">
      <c r="A14" s="264" t="s">
        <v>92</v>
      </c>
      <c r="B14" s="264" t="s">
        <v>66</v>
      </c>
      <c r="C14" s="386">
        <v>0</v>
      </c>
      <c r="D14" s="392">
        <v>0</v>
      </c>
      <c r="E14" s="385">
        <v>1</v>
      </c>
      <c r="F14" s="385">
        <v>1</v>
      </c>
      <c r="G14" s="385">
        <v>1</v>
      </c>
      <c r="H14" s="386">
        <v>0</v>
      </c>
      <c r="I14" s="386"/>
      <c r="J14" s="29"/>
      <c r="K14" s="15">
        <v>16</v>
      </c>
      <c r="L14" s="265" t="s">
        <v>355</v>
      </c>
      <c r="M14" s="15">
        <v>1</v>
      </c>
      <c r="N14" s="15" t="s">
        <v>349</v>
      </c>
      <c r="O14" s="15">
        <v>16</v>
      </c>
      <c r="P14" s="15">
        <v>7</v>
      </c>
      <c r="Q14" s="15">
        <v>10</v>
      </c>
      <c r="R14" s="38">
        <v>33</v>
      </c>
      <c r="S14" s="38" t="s">
        <v>46</v>
      </c>
      <c r="T14" s="15">
        <v>13.33</v>
      </c>
      <c r="U14" s="15">
        <v>36.25</v>
      </c>
      <c r="V14" s="15">
        <v>25</v>
      </c>
      <c r="W14" s="15">
        <v>21.85</v>
      </c>
      <c r="X14" s="15"/>
      <c r="Y14" s="15">
        <v>13</v>
      </c>
      <c r="Z14" s="15">
        <v>3</v>
      </c>
      <c r="AA14" s="15">
        <v>6</v>
      </c>
      <c r="AB14">
        <f t="shared" si="0"/>
        <v>22</v>
      </c>
      <c r="AC14" s="15"/>
      <c r="AD14" s="4"/>
      <c r="AE14" s="4"/>
    </row>
    <row r="15" spans="1:31" ht="16" x14ac:dyDescent="0.2">
      <c r="A15" s="28" t="s">
        <v>93</v>
      </c>
      <c r="B15" s="28" t="s">
        <v>410</v>
      </c>
      <c r="C15" s="386">
        <v>0</v>
      </c>
      <c r="D15" s="393">
        <v>1</v>
      </c>
      <c r="E15" s="386">
        <v>0</v>
      </c>
      <c r="F15" s="386">
        <v>0</v>
      </c>
      <c r="G15" s="385">
        <v>1</v>
      </c>
      <c r="H15" s="385">
        <v>1</v>
      </c>
      <c r="I15" s="385"/>
      <c r="J15" s="29"/>
      <c r="K15" s="442" t="s">
        <v>285</v>
      </c>
      <c r="L15" s="442"/>
      <c r="M15" s="38">
        <v>8</v>
      </c>
      <c r="N15" s="38" t="s">
        <v>397</v>
      </c>
      <c r="O15" s="15">
        <v>17</v>
      </c>
      <c r="P15" s="15">
        <v>2</v>
      </c>
      <c r="Q15" s="15">
        <v>17</v>
      </c>
      <c r="R15" s="317">
        <v>36</v>
      </c>
      <c r="S15" s="38" t="s">
        <v>46</v>
      </c>
      <c r="T15" s="437" t="s">
        <v>285</v>
      </c>
      <c r="U15" s="437"/>
      <c r="V15" s="437"/>
      <c r="W15" s="437"/>
      <c r="X15" s="4"/>
      <c r="Y15" s="39">
        <v>15</v>
      </c>
      <c r="Z15" s="4">
        <v>17</v>
      </c>
      <c r="AA15" s="39">
        <v>7</v>
      </c>
      <c r="AB15">
        <f t="shared" si="0"/>
        <v>39</v>
      </c>
      <c r="AC15" s="4"/>
      <c r="AD15" s="4"/>
      <c r="AE15" s="4"/>
    </row>
    <row r="16" spans="1:31" ht="16" x14ac:dyDescent="0.2">
      <c r="A16" s="28" t="s">
        <v>94</v>
      </c>
      <c r="B16" s="28" t="s">
        <v>412</v>
      </c>
      <c r="C16" s="386">
        <v>0</v>
      </c>
      <c r="D16" s="392">
        <v>0</v>
      </c>
      <c r="E16" s="385">
        <v>0</v>
      </c>
      <c r="F16" s="386">
        <v>0</v>
      </c>
      <c r="G16" s="385">
        <v>1</v>
      </c>
      <c r="H16" s="386">
        <v>0</v>
      </c>
      <c r="I16" s="386"/>
      <c r="J16" s="29"/>
      <c r="K16" s="442" t="s">
        <v>285</v>
      </c>
      <c r="L16" s="442"/>
      <c r="M16" s="15">
        <v>6</v>
      </c>
      <c r="N16" s="15" t="s">
        <v>397</v>
      </c>
      <c r="O16" s="15">
        <v>29</v>
      </c>
      <c r="P16" s="15">
        <v>12</v>
      </c>
      <c r="Q16" s="15">
        <v>16</v>
      </c>
      <c r="R16" s="38">
        <v>57</v>
      </c>
      <c r="S16" s="38" t="s">
        <v>46</v>
      </c>
      <c r="T16" s="437" t="s">
        <v>285</v>
      </c>
      <c r="U16" s="437"/>
      <c r="V16" s="437"/>
      <c r="W16" s="437"/>
      <c r="X16" s="4"/>
      <c r="Y16" s="4">
        <v>7</v>
      </c>
      <c r="Z16" s="4">
        <v>12</v>
      </c>
      <c r="AA16" s="4">
        <v>5</v>
      </c>
      <c r="AB16">
        <f t="shared" si="0"/>
        <v>24</v>
      </c>
      <c r="AC16" s="4"/>
      <c r="AD16" s="4"/>
      <c r="AE16" s="4"/>
    </row>
    <row r="17" spans="1:31" ht="16" x14ac:dyDescent="0.2">
      <c r="A17" s="28" t="s">
        <v>95</v>
      </c>
      <c r="B17" s="28" t="s">
        <v>413</v>
      </c>
      <c r="C17" s="386">
        <v>0</v>
      </c>
      <c r="D17" s="392">
        <v>0</v>
      </c>
      <c r="E17" s="385">
        <v>1</v>
      </c>
      <c r="F17" s="386">
        <v>0</v>
      </c>
      <c r="G17" s="385">
        <v>1</v>
      </c>
      <c r="H17" s="385">
        <v>0</v>
      </c>
      <c r="I17" s="385"/>
      <c r="J17" s="29"/>
      <c r="K17" s="442" t="s">
        <v>285</v>
      </c>
      <c r="L17" s="442"/>
      <c r="M17" s="15">
        <v>1</v>
      </c>
      <c r="N17" s="15" t="s">
        <v>349</v>
      </c>
      <c r="O17" s="15">
        <v>12</v>
      </c>
      <c r="P17" s="15">
        <v>7</v>
      </c>
      <c r="Q17" s="15">
        <v>10</v>
      </c>
      <c r="R17" s="38">
        <v>29</v>
      </c>
      <c r="S17" s="38" t="s">
        <v>46</v>
      </c>
      <c r="T17" s="437" t="s">
        <v>285</v>
      </c>
      <c r="U17" s="437"/>
      <c r="V17" s="437"/>
      <c r="W17" s="437"/>
      <c r="X17" s="4"/>
      <c r="Y17" s="39">
        <v>17</v>
      </c>
      <c r="Z17" s="39">
        <v>20</v>
      </c>
      <c r="AA17" s="4">
        <v>6</v>
      </c>
      <c r="AB17">
        <f t="shared" si="0"/>
        <v>43</v>
      </c>
      <c r="AC17" s="4"/>
      <c r="AD17" s="4"/>
      <c r="AE17" s="4"/>
    </row>
    <row r="18" spans="1:31" ht="16" x14ac:dyDescent="0.2">
      <c r="A18" s="28" t="s">
        <v>96</v>
      </c>
      <c r="B18" s="28" t="s">
        <v>415</v>
      </c>
      <c r="C18" s="386">
        <v>0</v>
      </c>
      <c r="D18" s="393">
        <v>1</v>
      </c>
      <c r="E18" s="385">
        <v>1</v>
      </c>
      <c r="F18" s="386">
        <v>0</v>
      </c>
      <c r="G18" s="385">
        <v>1</v>
      </c>
      <c r="H18" s="385">
        <v>0</v>
      </c>
      <c r="I18" s="385"/>
      <c r="J18" s="29"/>
      <c r="K18" s="442" t="s">
        <v>285</v>
      </c>
      <c r="L18" s="442"/>
      <c r="M18" s="38">
        <v>10</v>
      </c>
      <c r="N18" s="38" t="s">
        <v>353</v>
      </c>
      <c r="O18" s="15">
        <v>27</v>
      </c>
      <c r="P18" s="15">
        <v>7</v>
      </c>
      <c r="Q18" s="15">
        <v>11</v>
      </c>
      <c r="R18" s="38">
        <v>45</v>
      </c>
      <c r="S18" s="38" t="s">
        <v>46</v>
      </c>
      <c r="T18" s="437" t="s">
        <v>285</v>
      </c>
      <c r="U18" s="437"/>
      <c r="V18" s="437"/>
      <c r="W18" s="437"/>
      <c r="X18" s="4"/>
      <c r="Y18" s="4">
        <v>7</v>
      </c>
      <c r="Z18" s="4">
        <v>11</v>
      </c>
      <c r="AA18" s="4">
        <v>5</v>
      </c>
      <c r="AB18">
        <f t="shared" si="0"/>
        <v>23</v>
      </c>
      <c r="AC18" s="4"/>
      <c r="AD18" s="4"/>
      <c r="AE18" s="4"/>
    </row>
    <row r="19" spans="1:31" ht="16" x14ac:dyDescent="0.2">
      <c r="A19" s="28" t="s">
        <v>97</v>
      </c>
      <c r="B19" s="28" t="s">
        <v>416</v>
      </c>
      <c r="C19" s="386">
        <v>0</v>
      </c>
      <c r="D19" s="393">
        <v>0</v>
      </c>
      <c r="E19" s="386">
        <v>0</v>
      </c>
      <c r="F19" s="386">
        <v>0</v>
      </c>
      <c r="G19" s="385">
        <v>1</v>
      </c>
      <c r="H19" s="386">
        <v>0</v>
      </c>
      <c r="I19" s="386"/>
      <c r="J19" s="29"/>
      <c r="K19" s="442" t="s">
        <v>285</v>
      </c>
      <c r="L19" s="442"/>
      <c r="M19" s="40">
        <v>0</v>
      </c>
      <c r="N19" s="40" t="s">
        <v>349</v>
      </c>
      <c r="O19" s="15">
        <v>11</v>
      </c>
      <c r="P19" s="15">
        <v>2</v>
      </c>
      <c r="Q19" s="15">
        <v>16</v>
      </c>
      <c r="R19" s="317">
        <v>29</v>
      </c>
      <c r="S19" s="38" t="s">
        <v>46</v>
      </c>
      <c r="T19" s="437" t="s">
        <v>285</v>
      </c>
      <c r="U19" s="437"/>
      <c r="V19" s="437"/>
      <c r="W19" s="437"/>
      <c r="X19" s="4"/>
      <c r="Y19" s="4">
        <v>5</v>
      </c>
      <c r="Z19" s="4">
        <v>2</v>
      </c>
      <c r="AA19" s="4">
        <v>0</v>
      </c>
      <c r="AB19">
        <f t="shared" si="0"/>
        <v>7</v>
      </c>
      <c r="AC19" s="4"/>
      <c r="AD19" s="4"/>
      <c r="AE19" s="4"/>
    </row>
    <row r="20" spans="1:31" ht="16" x14ac:dyDescent="0.2">
      <c r="A20" s="28" t="s">
        <v>98</v>
      </c>
      <c r="B20" s="28" t="s">
        <v>417</v>
      </c>
      <c r="C20" s="386">
        <v>0</v>
      </c>
      <c r="D20" s="395">
        <v>0</v>
      </c>
      <c r="E20" s="386">
        <v>0</v>
      </c>
      <c r="F20" s="386">
        <v>0</v>
      </c>
      <c r="G20" s="385">
        <v>1</v>
      </c>
      <c r="H20" s="386">
        <v>0</v>
      </c>
      <c r="I20" s="386"/>
      <c r="J20" s="29"/>
      <c r="K20" s="442" t="s">
        <v>285</v>
      </c>
      <c r="L20" s="442"/>
      <c r="M20" s="4">
        <v>2</v>
      </c>
      <c r="N20" s="4" t="s">
        <v>349</v>
      </c>
      <c r="O20" s="15">
        <v>21</v>
      </c>
      <c r="P20" s="15">
        <v>12</v>
      </c>
      <c r="Q20" s="15">
        <v>17</v>
      </c>
      <c r="R20" s="317">
        <v>50</v>
      </c>
      <c r="S20" s="38" t="s">
        <v>46</v>
      </c>
      <c r="T20" s="437" t="s">
        <v>285</v>
      </c>
      <c r="U20" s="437"/>
      <c r="V20" s="437"/>
      <c r="W20" s="437"/>
      <c r="Y20" s="4">
        <v>4</v>
      </c>
      <c r="Z20" s="4">
        <v>8</v>
      </c>
      <c r="AA20" s="4">
        <v>3</v>
      </c>
      <c r="AB20">
        <f t="shared" si="0"/>
        <v>15</v>
      </c>
    </row>
    <row r="21" spans="1:31" ht="16" x14ac:dyDescent="0.2">
      <c r="A21" s="28" t="s">
        <v>99</v>
      </c>
      <c r="B21" s="28" t="s">
        <v>422</v>
      </c>
      <c r="C21" s="386">
        <v>0</v>
      </c>
      <c r="D21" s="395">
        <v>0</v>
      </c>
      <c r="E21" s="386">
        <v>0</v>
      </c>
      <c r="F21" s="386">
        <v>0</v>
      </c>
      <c r="G21" s="385">
        <v>1</v>
      </c>
      <c r="H21" s="386">
        <v>0</v>
      </c>
      <c r="I21" s="386"/>
      <c r="J21" s="29"/>
      <c r="K21" s="443" t="s">
        <v>285</v>
      </c>
      <c r="L21" s="443"/>
      <c r="M21" s="4">
        <v>2</v>
      </c>
      <c r="N21" s="4" t="s">
        <v>349</v>
      </c>
      <c r="O21" s="15">
        <v>18</v>
      </c>
      <c r="P21" s="15">
        <v>17</v>
      </c>
      <c r="Q21" s="15">
        <v>26</v>
      </c>
      <c r="R21" s="317">
        <v>61</v>
      </c>
      <c r="S21" s="38" t="s">
        <v>46</v>
      </c>
      <c r="T21" s="436" t="s">
        <v>285</v>
      </c>
      <c r="U21" s="436"/>
      <c r="V21" s="436"/>
      <c r="W21" s="436"/>
      <c r="Y21" s="177">
        <v>18</v>
      </c>
      <c r="Z21" s="4">
        <v>14</v>
      </c>
      <c r="AA21" s="4">
        <v>6</v>
      </c>
      <c r="AB21">
        <f t="shared" si="0"/>
        <v>38</v>
      </c>
    </row>
    <row r="22" spans="1:31" ht="16" x14ac:dyDescent="0.2">
      <c r="A22" s="28" t="s">
        <v>100</v>
      </c>
      <c r="B22" s="28" t="s">
        <v>427</v>
      </c>
      <c r="C22" s="386">
        <v>0</v>
      </c>
      <c r="D22" s="392">
        <v>0</v>
      </c>
      <c r="E22" s="385">
        <v>1</v>
      </c>
      <c r="F22" s="385">
        <v>1</v>
      </c>
      <c r="G22" s="385">
        <v>1</v>
      </c>
      <c r="H22" s="385">
        <v>1</v>
      </c>
      <c r="I22" s="385"/>
      <c r="J22" s="29"/>
      <c r="K22" s="176">
        <v>38</v>
      </c>
      <c r="L22" s="176" t="s">
        <v>353</v>
      </c>
      <c r="M22" s="15">
        <v>5</v>
      </c>
      <c r="N22" s="15" t="s">
        <v>355</v>
      </c>
      <c r="O22" s="15">
        <v>20</v>
      </c>
      <c r="P22" s="15">
        <v>11</v>
      </c>
      <c r="Q22" s="15">
        <v>20</v>
      </c>
      <c r="R22" s="38">
        <v>51</v>
      </c>
      <c r="S22" s="38" t="s">
        <v>46</v>
      </c>
      <c r="T22" s="40">
        <v>59.33</v>
      </c>
      <c r="U22" s="40">
        <v>45.63</v>
      </c>
      <c r="V22" s="40">
        <v>22.5</v>
      </c>
      <c r="W22" s="40">
        <v>49.81</v>
      </c>
      <c r="Y22" s="177">
        <v>15</v>
      </c>
      <c r="Z22" s="4">
        <v>14</v>
      </c>
      <c r="AA22" s="177">
        <v>10</v>
      </c>
      <c r="AB22">
        <f t="shared" si="0"/>
        <v>39</v>
      </c>
    </row>
    <row r="23" spans="1:31" ht="16" x14ac:dyDescent="0.2">
      <c r="A23" s="28" t="s">
        <v>101</v>
      </c>
      <c r="B23" s="28" t="s">
        <v>429</v>
      </c>
      <c r="C23" s="386">
        <v>0</v>
      </c>
      <c r="D23" s="395">
        <v>0</v>
      </c>
      <c r="E23" s="385">
        <v>1</v>
      </c>
      <c r="F23" s="385">
        <v>1</v>
      </c>
      <c r="G23" s="385">
        <v>1</v>
      </c>
      <c r="H23" s="385">
        <v>0</v>
      </c>
      <c r="I23" s="385"/>
      <c r="J23" s="29"/>
      <c r="K23" s="403">
        <v>44</v>
      </c>
      <c r="L23" s="403" t="s">
        <v>353</v>
      </c>
      <c r="M23" s="4">
        <v>2</v>
      </c>
      <c r="N23" s="4" t="s">
        <v>349</v>
      </c>
      <c r="O23" s="15">
        <v>24</v>
      </c>
      <c r="P23" s="15">
        <v>25</v>
      </c>
      <c r="Q23" s="15">
        <v>27</v>
      </c>
      <c r="R23" s="317">
        <v>76</v>
      </c>
      <c r="S23" s="38" t="s">
        <v>46</v>
      </c>
      <c r="T23" s="262">
        <v>41.3</v>
      </c>
      <c r="U23" s="262">
        <v>38.130000000000003</v>
      </c>
      <c r="V23" s="262">
        <v>25</v>
      </c>
      <c r="W23" s="262">
        <v>37.96</v>
      </c>
      <c r="Y23" s="177">
        <v>21</v>
      </c>
      <c r="Z23" s="175">
        <v>19</v>
      </c>
      <c r="AA23" s="4">
        <v>6</v>
      </c>
      <c r="AB23">
        <f t="shared" si="0"/>
        <v>46</v>
      </c>
      <c r="AD23" s="4">
        <v>29</v>
      </c>
      <c r="AE23" s="4" t="s">
        <v>41</v>
      </c>
    </row>
    <row r="24" spans="1:31" ht="16" x14ac:dyDescent="0.2">
      <c r="A24" s="28" t="s">
        <v>102</v>
      </c>
      <c r="B24" s="28" t="s">
        <v>434</v>
      </c>
      <c r="C24" s="386">
        <v>0</v>
      </c>
      <c r="D24" s="392">
        <v>0</v>
      </c>
      <c r="E24" s="386">
        <v>1</v>
      </c>
      <c r="F24" s="386">
        <v>1</v>
      </c>
      <c r="G24" s="385">
        <v>0</v>
      </c>
      <c r="H24" s="386">
        <v>0</v>
      </c>
      <c r="I24" s="386"/>
      <c r="J24" s="29"/>
      <c r="K24" s="404">
        <v>4</v>
      </c>
      <c r="L24" s="404" t="s">
        <v>435</v>
      </c>
      <c r="M24" s="15">
        <v>2</v>
      </c>
      <c r="N24" s="4" t="s">
        <v>349</v>
      </c>
      <c r="O24" s="15">
        <v>6</v>
      </c>
      <c r="P24" s="15">
        <v>2</v>
      </c>
      <c r="Q24" s="15">
        <v>2</v>
      </c>
      <c r="R24" s="176">
        <v>10</v>
      </c>
      <c r="S24" s="40" t="s">
        <v>41</v>
      </c>
      <c r="T24" s="239">
        <v>13.33</v>
      </c>
      <c r="U24" s="239">
        <v>4.38</v>
      </c>
      <c r="V24" s="239">
        <v>50</v>
      </c>
      <c r="W24" s="239">
        <v>16.11</v>
      </c>
      <c r="X24" s="4"/>
      <c r="Y24" s="174">
        <v>5</v>
      </c>
      <c r="Z24" s="174">
        <v>1</v>
      </c>
      <c r="AA24" s="175">
        <v>2</v>
      </c>
      <c r="AB24">
        <f t="shared" si="0"/>
        <v>8</v>
      </c>
      <c r="AC24" s="4"/>
      <c r="AD24" s="177"/>
      <c r="AE24" s="177"/>
    </row>
    <row r="25" spans="1:31" ht="16" x14ac:dyDescent="0.2">
      <c r="A25" s="28" t="s">
        <v>103</v>
      </c>
      <c r="B25" s="28" t="s">
        <v>444</v>
      </c>
      <c r="C25" s="386">
        <v>0</v>
      </c>
      <c r="D25" s="392">
        <v>0</v>
      </c>
      <c r="E25" s="386">
        <v>1</v>
      </c>
      <c r="F25" s="386">
        <v>1</v>
      </c>
      <c r="G25" s="385">
        <v>1</v>
      </c>
      <c r="H25" s="386">
        <v>0</v>
      </c>
      <c r="I25" s="386"/>
      <c r="J25" s="29"/>
      <c r="K25" s="404">
        <v>10</v>
      </c>
      <c r="L25" s="404" t="s">
        <v>435</v>
      </c>
      <c r="M25" s="15">
        <v>5</v>
      </c>
      <c r="N25" s="4" t="s">
        <v>397</v>
      </c>
      <c r="O25" s="15">
        <v>16</v>
      </c>
      <c r="P25" s="15">
        <v>4</v>
      </c>
      <c r="Q25" s="15">
        <v>16</v>
      </c>
      <c r="R25" s="15">
        <v>36</v>
      </c>
      <c r="S25" s="38" t="s">
        <v>46</v>
      </c>
      <c r="T25" s="239">
        <v>20</v>
      </c>
      <c r="U25" s="239">
        <v>13.75</v>
      </c>
      <c r="V25" s="239">
        <v>36.25</v>
      </c>
      <c r="W25" s="239">
        <v>20.56</v>
      </c>
      <c r="X25" s="4"/>
      <c r="Y25" s="174">
        <v>10</v>
      </c>
      <c r="Z25" s="174">
        <v>4</v>
      </c>
      <c r="AA25" s="175">
        <v>2</v>
      </c>
      <c r="AB25">
        <f t="shared" si="0"/>
        <v>16</v>
      </c>
      <c r="AC25" s="4"/>
      <c r="AD25" s="177"/>
      <c r="AE25" s="177"/>
    </row>
    <row r="26" spans="1:31" ht="16" x14ac:dyDescent="0.2">
      <c r="A26" s="28" t="s">
        <v>104</v>
      </c>
      <c r="B26" s="28" t="s">
        <v>448</v>
      </c>
      <c r="C26" s="386">
        <v>0</v>
      </c>
      <c r="D26" s="395">
        <v>1</v>
      </c>
      <c r="E26" s="386">
        <v>1</v>
      </c>
      <c r="F26" s="386">
        <v>1</v>
      </c>
      <c r="G26" s="385">
        <v>0</v>
      </c>
      <c r="H26" s="386">
        <v>0</v>
      </c>
      <c r="I26" s="386"/>
      <c r="J26" s="29"/>
      <c r="K26" s="4">
        <v>18</v>
      </c>
      <c r="L26" s="4" t="s">
        <v>355</v>
      </c>
      <c r="M26" s="177">
        <v>9</v>
      </c>
      <c r="N26" s="177" t="s">
        <v>397</v>
      </c>
      <c r="O26" s="4">
        <v>18</v>
      </c>
      <c r="P26" s="4">
        <v>4</v>
      </c>
      <c r="Q26" s="4">
        <v>4</v>
      </c>
      <c r="R26" s="4">
        <v>26</v>
      </c>
      <c r="S26" s="4" t="s">
        <v>41</v>
      </c>
      <c r="T26" s="4">
        <v>40.53</v>
      </c>
      <c r="U26" s="4">
        <v>32.380000000000003</v>
      </c>
      <c r="V26" s="4">
        <v>28.75</v>
      </c>
      <c r="W26" s="4">
        <v>36.369999999999997</v>
      </c>
      <c r="X26" s="4"/>
      <c r="Y26" s="4">
        <v>6</v>
      </c>
      <c r="Z26" s="4">
        <v>2</v>
      </c>
      <c r="AA26" s="4">
        <v>4</v>
      </c>
      <c r="AB26">
        <f t="shared" si="0"/>
        <v>12</v>
      </c>
      <c r="AC26" s="4"/>
      <c r="AD26" s="177"/>
      <c r="AE26" s="177"/>
    </row>
    <row r="27" spans="1:31" ht="16" x14ac:dyDescent="0.2">
      <c r="A27" s="28" t="s">
        <v>105</v>
      </c>
      <c r="B27" s="28" t="s">
        <v>451</v>
      </c>
      <c r="C27" s="386">
        <v>0</v>
      </c>
      <c r="D27" s="392">
        <v>0</v>
      </c>
      <c r="E27" s="387">
        <v>0</v>
      </c>
      <c r="F27" s="386">
        <v>0</v>
      </c>
      <c r="G27" s="385">
        <v>1</v>
      </c>
      <c r="H27" s="386">
        <v>1</v>
      </c>
      <c r="I27" s="386"/>
      <c r="J27" s="29"/>
      <c r="K27" s="443" t="s">
        <v>285</v>
      </c>
      <c r="L27" s="443"/>
      <c r="M27" s="15">
        <v>7</v>
      </c>
      <c r="N27" s="4" t="s">
        <v>397</v>
      </c>
      <c r="O27" s="15">
        <v>29</v>
      </c>
      <c r="P27" s="15">
        <v>12</v>
      </c>
      <c r="Q27" s="15">
        <v>21</v>
      </c>
      <c r="R27" s="243">
        <v>62</v>
      </c>
      <c r="S27" s="38" t="s">
        <v>46</v>
      </c>
      <c r="T27" s="437" t="s">
        <v>285</v>
      </c>
      <c r="U27" s="437"/>
      <c r="V27" s="437"/>
      <c r="W27" s="437"/>
      <c r="X27" s="4"/>
      <c r="Y27" s="39">
        <v>21</v>
      </c>
      <c r="Z27" s="174">
        <v>20</v>
      </c>
      <c r="AA27" s="177">
        <v>7</v>
      </c>
      <c r="AB27">
        <f t="shared" si="0"/>
        <v>48</v>
      </c>
      <c r="AC27" s="4"/>
      <c r="AD27" s="177"/>
      <c r="AE27" s="177"/>
    </row>
    <row r="28" spans="1:31" ht="16" x14ac:dyDescent="0.2">
      <c r="A28" s="303" t="s">
        <v>106</v>
      </c>
      <c r="B28" s="303" t="s">
        <v>459</v>
      </c>
      <c r="C28" s="396">
        <v>0</v>
      </c>
      <c r="D28" s="397">
        <v>0</v>
      </c>
      <c r="E28" s="398">
        <v>1</v>
      </c>
      <c r="F28" s="398">
        <v>1</v>
      </c>
      <c r="G28" s="398">
        <v>0</v>
      </c>
      <c r="H28" s="398">
        <v>0</v>
      </c>
      <c r="I28" s="398"/>
      <c r="J28" s="399"/>
      <c r="K28" s="405">
        <v>38</v>
      </c>
      <c r="L28" s="405" t="s">
        <v>353</v>
      </c>
      <c r="M28" s="401">
        <v>1</v>
      </c>
      <c r="N28" s="402" t="s">
        <v>349</v>
      </c>
      <c r="O28" s="306">
        <v>4</v>
      </c>
      <c r="P28" s="306">
        <v>4</v>
      </c>
      <c r="Q28" s="306">
        <v>6</v>
      </c>
      <c r="R28" s="307">
        <v>14</v>
      </c>
      <c r="S28" s="308" t="s">
        <v>41</v>
      </c>
      <c r="T28" s="304">
        <v>54.67</v>
      </c>
      <c r="U28" s="304">
        <v>61.25</v>
      </c>
      <c r="V28" s="304">
        <v>31.25</v>
      </c>
      <c r="W28" s="304">
        <v>53.15</v>
      </c>
      <c r="X28" s="309"/>
      <c r="Y28" s="310">
        <v>4</v>
      </c>
      <c r="Z28" s="310">
        <v>1</v>
      </c>
      <c r="AA28" s="311">
        <v>0</v>
      </c>
      <c r="AB28" s="248">
        <f t="shared" si="0"/>
        <v>5</v>
      </c>
      <c r="AC28" s="309"/>
      <c r="AD28" s="312"/>
      <c r="AE28" s="312"/>
    </row>
    <row r="29" spans="1:31" ht="16" x14ac:dyDescent="0.2">
      <c r="A29" s="28" t="s">
        <v>107</v>
      </c>
      <c r="B29" s="28" t="s">
        <v>81</v>
      </c>
      <c r="C29" s="386">
        <v>0</v>
      </c>
      <c r="D29" s="392">
        <v>0</v>
      </c>
      <c r="E29" s="388">
        <v>1</v>
      </c>
      <c r="F29" s="388">
        <v>1</v>
      </c>
      <c r="G29" s="388">
        <v>1</v>
      </c>
      <c r="H29" s="388">
        <v>0</v>
      </c>
      <c r="I29" s="388"/>
      <c r="J29" s="29"/>
      <c r="K29" s="404">
        <v>34</v>
      </c>
      <c r="L29" s="404" t="s">
        <v>355</v>
      </c>
      <c r="M29" s="15">
        <v>0</v>
      </c>
      <c r="N29" s="4" t="s">
        <v>349</v>
      </c>
      <c r="O29" s="15">
        <v>29</v>
      </c>
      <c r="P29" s="15">
        <v>25</v>
      </c>
      <c r="Q29" s="15">
        <v>24</v>
      </c>
      <c r="R29" s="243">
        <v>78</v>
      </c>
      <c r="S29" s="38" t="s">
        <v>46</v>
      </c>
      <c r="T29" s="239">
        <v>45.67</v>
      </c>
      <c r="U29" s="239">
        <v>37.5</v>
      </c>
      <c r="V29" s="239">
        <v>8.75</v>
      </c>
      <c r="W29" s="239">
        <v>37.78</v>
      </c>
      <c r="X29" s="4"/>
      <c r="Y29" s="39">
        <v>24</v>
      </c>
      <c r="Z29" s="174">
        <v>15</v>
      </c>
      <c r="AA29" s="175">
        <v>6</v>
      </c>
      <c r="AB29">
        <f t="shared" si="0"/>
        <v>45</v>
      </c>
      <c r="AC29" s="4"/>
      <c r="AD29" s="177"/>
      <c r="AE29" s="177"/>
    </row>
    <row r="30" spans="1:31" ht="16" x14ac:dyDescent="0.2">
      <c r="A30" s="28" t="s">
        <v>299</v>
      </c>
      <c r="B30" s="28" t="s">
        <v>300</v>
      </c>
      <c r="C30" s="386">
        <v>0</v>
      </c>
      <c r="D30" s="384">
        <v>0</v>
      </c>
      <c r="E30" s="384">
        <v>1</v>
      </c>
      <c r="F30" s="384">
        <v>0</v>
      </c>
      <c r="G30" s="384">
        <v>0</v>
      </c>
      <c r="H30" s="384">
        <v>0</v>
      </c>
      <c r="I30" s="384"/>
      <c r="J30" s="384">
        <v>1</v>
      </c>
      <c r="K30" s="442" t="s">
        <v>280</v>
      </c>
      <c r="L30" s="442"/>
      <c r="M30" s="4">
        <v>0</v>
      </c>
      <c r="N30" s="4" t="s">
        <v>349</v>
      </c>
      <c r="O30" s="4">
        <v>6</v>
      </c>
      <c r="P30" s="4">
        <v>2</v>
      </c>
      <c r="Q30" s="4">
        <v>0</v>
      </c>
      <c r="R30" s="4">
        <v>8</v>
      </c>
      <c r="S30" s="4" t="s">
        <v>41</v>
      </c>
      <c r="T30" s="441" t="s">
        <v>280</v>
      </c>
      <c r="U30" s="441"/>
      <c r="V30" s="441"/>
      <c r="W30" s="441"/>
      <c r="Y30" s="4">
        <v>0</v>
      </c>
      <c r="Z30" s="4">
        <v>2</v>
      </c>
      <c r="AA30" s="4">
        <v>0</v>
      </c>
      <c r="AB30">
        <f t="shared" si="0"/>
        <v>2</v>
      </c>
      <c r="AD30" s="440" t="s">
        <v>286</v>
      </c>
      <c r="AE30" s="440"/>
    </row>
    <row r="31" spans="1:31" ht="16" x14ac:dyDescent="0.2">
      <c r="A31" s="28" t="s">
        <v>301</v>
      </c>
      <c r="B31" s="28" t="s">
        <v>302</v>
      </c>
      <c r="C31" s="386">
        <v>0</v>
      </c>
      <c r="D31" s="384">
        <v>0</v>
      </c>
      <c r="E31" s="384">
        <v>1</v>
      </c>
      <c r="F31" s="384">
        <v>1</v>
      </c>
      <c r="G31" s="384">
        <v>1</v>
      </c>
      <c r="H31" s="384">
        <v>0</v>
      </c>
      <c r="I31" s="384"/>
      <c r="J31" s="384">
        <v>0</v>
      </c>
      <c r="K31" s="403">
        <v>24</v>
      </c>
      <c r="L31" s="403" t="s">
        <v>355</v>
      </c>
      <c r="M31" s="4">
        <v>2</v>
      </c>
      <c r="N31" s="4" t="s">
        <v>349</v>
      </c>
      <c r="O31" s="4">
        <v>21</v>
      </c>
      <c r="P31" s="4">
        <v>7</v>
      </c>
      <c r="Q31" s="4">
        <v>16</v>
      </c>
      <c r="R31" s="177">
        <v>44</v>
      </c>
      <c r="S31" s="177" t="s">
        <v>46</v>
      </c>
      <c r="T31" s="372">
        <v>32</v>
      </c>
      <c r="U31" s="372">
        <v>24.75</v>
      </c>
      <c r="V31" s="372">
        <v>18.75</v>
      </c>
      <c r="W31" s="372">
        <v>27.89</v>
      </c>
      <c r="Y31" s="406">
        <v>17</v>
      </c>
      <c r="Z31" s="262">
        <v>5</v>
      </c>
      <c r="AA31" s="262">
        <v>3</v>
      </c>
      <c r="AB31">
        <f t="shared" si="0"/>
        <v>25</v>
      </c>
      <c r="AD31" s="4">
        <v>24</v>
      </c>
      <c r="AE31" s="4" t="s">
        <v>46</v>
      </c>
    </row>
    <row r="32" spans="1:31" ht="16" x14ac:dyDescent="0.2">
      <c r="A32" s="389" t="s">
        <v>304</v>
      </c>
      <c r="B32" s="390" t="s">
        <v>305</v>
      </c>
      <c r="C32" s="384">
        <v>0</v>
      </c>
      <c r="D32" s="384">
        <v>1</v>
      </c>
      <c r="E32" s="388">
        <v>1</v>
      </c>
      <c r="F32" s="388">
        <v>1</v>
      </c>
      <c r="G32" s="388">
        <v>1</v>
      </c>
      <c r="H32" s="388">
        <v>1</v>
      </c>
      <c r="I32" s="388"/>
      <c r="J32" s="29"/>
      <c r="K32" s="262">
        <v>30</v>
      </c>
      <c r="L32" s="262" t="s">
        <v>355</v>
      </c>
      <c r="M32" s="177">
        <v>8</v>
      </c>
      <c r="N32" s="177" t="s">
        <v>355</v>
      </c>
      <c r="O32" s="4">
        <v>8</v>
      </c>
      <c r="P32" s="4">
        <v>21</v>
      </c>
      <c r="Q32" s="4">
        <v>20</v>
      </c>
      <c r="R32" s="177">
        <v>49</v>
      </c>
      <c r="S32" s="407" t="s">
        <v>46</v>
      </c>
      <c r="T32" s="408">
        <v>25.33</v>
      </c>
      <c r="U32" s="408">
        <v>29.38</v>
      </c>
      <c r="V32" s="408">
        <v>56.25</v>
      </c>
      <c r="W32" s="408">
        <v>31.11</v>
      </c>
      <c r="X32" s="4"/>
      <c r="Y32" s="4">
        <v>8</v>
      </c>
      <c r="Z32" s="4">
        <v>5</v>
      </c>
      <c r="AA32" s="4">
        <v>7</v>
      </c>
      <c r="AB32">
        <f t="shared" si="0"/>
        <v>20</v>
      </c>
      <c r="AD32" s="440" t="s">
        <v>285</v>
      </c>
      <c r="AE32" s="440"/>
    </row>
    <row r="33" spans="1:32" ht="16" x14ac:dyDescent="0.2">
      <c r="A33" s="389" t="s">
        <v>216</v>
      </c>
      <c r="B33" s="390" t="s">
        <v>217</v>
      </c>
      <c r="C33" s="384">
        <v>0</v>
      </c>
      <c r="D33" s="384">
        <v>1</v>
      </c>
      <c r="E33" s="388">
        <v>0</v>
      </c>
      <c r="F33" s="388">
        <v>0</v>
      </c>
      <c r="G33" s="388">
        <v>1</v>
      </c>
      <c r="H33" s="391">
        <v>0</v>
      </c>
      <c r="I33" s="391"/>
      <c r="J33" s="384">
        <v>1</v>
      </c>
      <c r="K33" s="436" t="s">
        <v>285</v>
      </c>
      <c r="L33" s="436"/>
      <c r="M33" s="177">
        <v>11</v>
      </c>
      <c r="N33" s="177" t="s">
        <v>353</v>
      </c>
      <c r="O33" s="4">
        <v>22</v>
      </c>
      <c r="P33" s="4">
        <v>9</v>
      </c>
      <c r="Q33" s="4">
        <v>26</v>
      </c>
      <c r="R33" s="177">
        <v>57</v>
      </c>
      <c r="S33" s="177" t="s">
        <v>46</v>
      </c>
      <c r="T33" s="437" t="s">
        <v>285</v>
      </c>
      <c r="U33" s="437"/>
      <c r="V33" s="437"/>
      <c r="W33" s="437"/>
      <c r="Y33" s="4">
        <v>12</v>
      </c>
      <c r="Z33" s="177">
        <v>22</v>
      </c>
      <c r="AA33" s="4">
        <v>3</v>
      </c>
      <c r="AB33">
        <f t="shared" si="0"/>
        <v>37</v>
      </c>
    </row>
    <row r="34" spans="1:32" ht="16" x14ac:dyDescent="0.2">
      <c r="A34" s="28" t="s">
        <v>646</v>
      </c>
      <c r="B34" s="28" t="s">
        <v>645</v>
      </c>
      <c r="C34" s="384">
        <v>0</v>
      </c>
      <c r="D34" s="384">
        <v>0</v>
      </c>
      <c r="E34" s="384">
        <v>1</v>
      </c>
      <c r="F34" s="384">
        <v>1</v>
      </c>
      <c r="G34" s="384">
        <v>0</v>
      </c>
      <c r="H34" s="384">
        <v>0</v>
      </c>
      <c r="I34" s="384"/>
      <c r="J34" s="384">
        <v>0</v>
      </c>
      <c r="K34" s="262">
        <v>2</v>
      </c>
      <c r="L34" s="262" t="s">
        <v>435</v>
      </c>
      <c r="M34" s="4">
        <v>0</v>
      </c>
      <c r="N34" s="4" t="s">
        <v>349</v>
      </c>
      <c r="O34" s="4">
        <v>6</v>
      </c>
      <c r="P34" s="4">
        <v>0</v>
      </c>
      <c r="Q34" s="4">
        <v>2</v>
      </c>
      <c r="R34" s="175">
        <v>8</v>
      </c>
      <c r="S34" s="175" t="s">
        <v>41</v>
      </c>
      <c r="T34" s="262">
        <v>17.329999999999998</v>
      </c>
      <c r="U34" s="262">
        <v>2.5</v>
      </c>
      <c r="V34" s="262">
        <v>47.5</v>
      </c>
      <c r="W34" s="262">
        <v>17.41</v>
      </c>
      <c r="Y34" s="4">
        <v>0</v>
      </c>
      <c r="Z34" s="262">
        <v>0</v>
      </c>
      <c r="AA34" s="4">
        <v>2</v>
      </c>
      <c r="AB34">
        <f t="shared" si="0"/>
        <v>2</v>
      </c>
      <c r="AD34" s="4">
        <v>27</v>
      </c>
      <c r="AE34" s="4" t="s">
        <v>41</v>
      </c>
    </row>
    <row r="35" spans="1:32" ht="16" x14ac:dyDescent="0.2">
      <c r="A35" s="28" t="s">
        <v>669</v>
      </c>
      <c r="B35" s="28" t="s">
        <v>668</v>
      </c>
      <c r="C35" s="391">
        <v>0</v>
      </c>
      <c r="D35" s="391">
        <v>0</v>
      </c>
      <c r="E35" s="391"/>
      <c r="F35" s="391">
        <v>0</v>
      </c>
      <c r="G35" s="391">
        <v>1</v>
      </c>
      <c r="H35" s="391">
        <v>0</v>
      </c>
      <c r="I35" s="391"/>
      <c r="J35" s="391"/>
      <c r="K35" s="437" t="s">
        <v>280</v>
      </c>
      <c r="L35" s="437"/>
      <c r="M35" s="15">
        <v>3</v>
      </c>
      <c r="N35" t="s">
        <v>349</v>
      </c>
      <c r="O35" s="4">
        <v>26</v>
      </c>
      <c r="P35" s="4">
        <v>19</v>
      </c>
      <c r="Q35" s="4">
        <v>26</v>
      </c>
      <c r="R35" s="4">
        <v>71</v>
      </c>
      <c r="S35" s="4" t="s">
        <v>46</v>
      </c>
      <c r="T35" s="441" t="s">
        <v>280</v>
      </c>
      <c r="U35" s="441"/>
      <c r="V35" s="441"/>
      <c r="W35" s="441"/>
      <c r="Y35" s="177">
        <v>17</v>
      </c>
      <c r="Z35" s="4">
        <v>10</v>
      </c>
      <c r="AA35" s="4">
        <v>4</v>
      </c>
      <c r="AB35">
        <f t="shared" si="0"/>
        <v>31</v>
      </c>
      <c r="AD35" s="444" t="s">
        <v>285</v>
      </c>
      <c r="AE35" s="444"/>
    </row>
    <row r="36" spans="1:32" ht="16" x14ac:dyDescent="0.2">
      <c r="A36" s="28" t="s">
        <v>649</v>
      </c>
      <c r="B36" s="28" t="s">
        <v>648</v>
      </c>
      <c r="C36" s="384">
        <v>0</v>
      </c>
      <c r="D36" s="384">
        <v>0</v>
      </c>
      <c r="E36" s="384">
        <v>0</v>
      </c>
      <c r="F36" s="384">
        <v>0</v>
      </c>
      <c r="G36" s="384">
        <v>1</v>
      </c>
      <c r="H36" s="384">
        <v>1</v>
      </c>
      <c r="I36" s="384"/>
      <c r="J36" s="384">
        <v>0</v>
      </c>
      <c r="K36" s="436" t="s">
        <v>285</v>
      </c>
      <c r="L36" s="436"/>
      <c r="M36" s="4">
        <v>6</v>
      </c>
      <c r="N36" s="4" t="s">
        <v>355</v>
      </c>
      <c r="O36" s="4">
        <v>21</v>
      </c>
      <c r="P36" s="4">
        <v>21</v>
      </c>
      <c r="Q36" s="4">
        <v>32</v>
      </c>
      <c r="R36" s="177">
        <v>74</v>
      </c>
      <c r="S36" s="177" t="s">
        <v>46</v>
      </c>
      <c r="T36" s="437" t="s">
        <v>285</v>
      </c>
      <c r="U36" s="437"/>
      <c r="V36" s="437"/>
      <c r="W36" s="437"/>
      <c r="Y36" s="4">
        <v>12</v>
      </c>
      <c r="Z36" s="4">
        <v>14</v>
      </c>
      <c r="AA36" s="4">
        <v>8</v>
      </c>
      <c r="AB36">
        <f>SUM(Y36:AA36)</f>
        <v>34</v>
      </c>
      <c r="AD36" s="440" t="s">
        <v>285</v>
      </c>
      <c r="AE36" s="440"/>
    </row>
    <row r="37" spans="1:32" ht="16" x14ac:dyDescent="0.2">
      <c r="A37" s="28" t="s">
        <v>651</v>
      </c>
      <c r="B37" s="28" t="s">
        <v>650</v>
      </c>
      <c r="C37" s="384">
        <v>0</v>
      </c>
      <c r="D37" s="384"/>
      <c r="E37" s="384"/>
      <c r="F37" s="384">
        <v>1</v>
      </c>
      <c r="G37" s="384">
        <v>1</v>
      </c>
      <c r="H37" s="384">
        <v>0</v>
      </c>
      <c r="I37" s="384"/>
      <c r="J37" s="384"/>
      <c r="K37" s="102">
        <v>46</v>
      </c>
      <c r="L37" s="102" t="s">
        <v>353</v>
      </c>
      <c r="M37" s="4">
        <v>7</v>
      </c>
      <c r="N37" s="4" t="s">
        <v>355</v>
      </c>
      <c r="O37" s="4">
        <v>26</v>
      </c>
      <c r="P37" s="4">
        <v>24</v>
      </c>
      <c r="Q37" s="4">
        <v>20</v>
      </c>
      <c r="R37" s="177">
        <v>70</v>
      </c>
      <c r="S37" s="177" t="s">
        <v>46</v>
      </c>
      <c r="T37" s="101">
        <v>36.67</v>
      </c>
      <c r="U37" s="101">
        <v>33.75</v>
      </c>
      <c r="V37" s="101">
        <v>35</v>
      </c>
      <c r="W37" s="101">
        <v>35.56</v>
      </c>
      <c r="Y37" s="4">
        <v>6</v>
      </c>
      <c r="Z37" s="4">
        <v>11</v>
      </c>
      <c r="AA37" s="4">
        <v>6</v>
      </c>
      <c r="AB37">
        <f>SUM(Y37:AA37)</f>
        <v>23</v>
      </c>
      <c r="AD37" s="440" t="s">
        <v>285</v>
      </c>
      <c r="AE37" s="440"/>
    </row>
    <row r="38" spans="1:32" ht="16" x14ac:dyDescent="0.2">
      <c r="A38" s="28" t="s">
        <v>658</v>
      </c>
      <c r="B38" s="28" t="s">
        <v>657</v>
      </c>
      <c r="C38" s="384">
        <v>0</v>
      </c>
      <c r="D38" s="384">
        <v>1</v>
      </c>
      <c r="E38" s="384">
        <v>0</v>
      </c>
      <c r="F38" s="384">
        <v>1</v>
      </c>
      <c r="G38" s="384">
        <v>1</v>
      </c>
      <c r="H38" s="384">
        <v>0</v>
      </c>
      <c r="I38" s="384">
        <v>1</v>
      </c>
      <c r="J38" s="384">
        <v>0</v>
      </c>
      <c r="K38" s="262">
        <v>44</v>
      </c>
      <c r="L38" s="262" t="s">
        <v>353</v>
      </c>
      <c r="M38" s="243">
        <v>17</v>
      </c>
      <c r="N38" s="15" t="s">
        <v>665</v>
      </c>
      <c r="O38" s="15">
        <v>24</v>
      </c>
      <c r="P38" s="15">
        <v>14</v>
      </c>
      <c r="Q38" s="15">
        <v>24</v>
      </c>
      <c r="R38" s="243">
        <v>62</v>
      </c>
      <c r="S38" s="243" t="s">
        <v>46</v>
      </c>
      <c r="T38" s="262">
        <v>41.33</v>
      </c>
      <c r="U38" s="262">
        <v>52.5</v>
      </c>
      <c r="V38" s="262">
        <v>35</v>
      </c>
      <c r="W38" s="262">
        <v>43.7</v>
      </c>
      <c r="X38" s="4"/>
      <c r="Y38" s="4">
        <v>11</v>
      </c>
      <c r="Z38" s="4">
        <v>10</v>
      </c>
      <c r="AA38" s="4">
        <v>5</v>
      </c>
      <c r="AB38" s="11">
        <f>SUM(Y38:AA38)</f>
        <v>26</v>
      </c>
      <c r="AC38" s="4"/>
      <c r="AD38" s="440" t="s">
        <v>285</v>
      </c>
      <c r="AE38" s="440"/>
      <c r="AF38" s="4"/>
    </row>
    <row r="39" spans="1:32" ht="16" x14ac:dyDescent="0.2">
      <c r="A39" s="28" t="s">
        <v>672</v>
      </c>
      <c r="B39" s="28" t="s">
        <v>671</v>
      </c>
      <c r="C39" s="384">
        <v>0</v>
      </c>
      <c r="D39" s="384">
        <v>0</v>
      </c>
      <c r="E39" s="384">
        <v>0</v>
      </c>
      <c r="F39" s="384">
        <v>1</v>
      </c>
      <c r="G39" s="384">
        <v>1</v>
      </c>
      <c r="H39" s="384">
        <v>0</v>
      </c>
      <c r="I39" s="384"/>
      <c r="J39" s="384">
        <v>0</v>
      </c>
      <c r="K39" s="262">
        <v>10</v>
      </c>
      <c r="L39" s="262" t="s">
        <v>435</v>
      </c>
      <c r="M39" s="176">
        <v>3</v>
      </c>
      <c r="N39" s="15" t="s">
        <v>349</v>
      </c>
      <c r="O39" s="15">
        <v>6</v>
      </c>
      <c r="P39" s="15">
        <v>8</v>
      </c>
      <c r="Q39" s="15">
        <v>16</v>
      </c>
      <c r="R39" s="243">
        <v>30</v>
      </c>
      <c r="S39" s="243" t="s">
        <v>46</v>
      </c>
      <c r="T39" s="262">
        <v>16</v>
      </c>
      <c r="U39" s="262">
        <v>10</v>
      </c>
      <c r="V39" s="262">
        <v>41.25</v>
      </c>
      <c r="W39" s="262">
        <v>17.96</v>
      </c>
      <c r="X39" s="4"/>
      <c r="Y39" s="4">
        <v>6</v>
      </c>
      <c r="Z39" s="4">
        <v>4</v>
      </c>
      <c r="AA39" s="4">
        <v>3</v>
      </c>
      <c r="AB39" s="11">
        <f>SUM(Y39:AA39)</f>
        <v>13</v>
      </c>
      <c r="AC39" s="4"/>
      <c r="AD39" s="440" t="s">
        <v>285</v>
      </c>
      <c r="AE39" s="440"/>
      <c r="AF39" s="4"/>
    </row>
    <row r="41" spans="1:32" ht="16" x14ac:dyDescent="0.2">
      <c r="K41" s="421"/>
      <c r="L41" s="421"/>
      <c r="M41" s="15"/>
      <c r="T41" s="422"/>
      <c r="U41" s="422"/>
      <c r="V41" s="422"/>
      <c r="W41" s="422"/>
      <c r="Y41" s="225"/>
    </row>
    <row r="42" spans="1:32" s="375" customFormat="1" ht="15" x14ac:dyDescent="0.2">
      <c r="A42" s="375" t="s">
        <v>541</v>
      </c>
      <c r="C42" s="375">
        <f t="shared" ref="C42:J42" si="1">COUNTIF(C4:C38,1)</f>
        <v>0</v>
      </c>
      <c r="D42" s="375">
        <f t="shared" si="1"/>
        <v>11</v>
      </c>
      <c r="E42" s="375">
        <f t="shared" si="1"/>
        <v>19</v>
      </c>
      <c r="F42" s="375">
        <f t="shared" si="1"/>
        <v>17</v>
      </c>
      <c r="G42" s="375">
        <f t="shared" si="1"/>
        <v>27</v>
      </c>
      <c r="H42" s="375">
        <f t="shared" si="1"/>
        <v>8</v>
      </c>
      <c r="I42" s="375">
        <f t="shared" si="1"/>
        <v>1</v>
      </c>
      <c r="J42" s="375">
        <f t="shared" si="1"/>
        <v>2</v>
      </c>
      <c r="K42" s="376">
        <f>AVERAGE(K31:K38)</f>
        <v>29.2</v>
      </c>
      <c r="L42" s="377" t="s">
        <v>285</v>
      </c>
      <c r="M42" s="416">
        <f>AVERAGE(M4:M39)</f>
        <v>5.9444444444444446</v>
      </c>
      <c r="N42" s="377" t="s">
        <v>285</v>
      </c>
      <c r="O42" s="375">
        <f>+AVERAGE(O4:O38)</f>
        <v>17.714285714285715</v>
      </c>
      <c r="P42" s="375">
        <f>+AVERAGE(P4:P38)</f>
        <v>10.942857142857143</v>
      </c>
      <c r="Q42" s="375">
        <f>+AVERAGE(Q4:Q38)</f>
        <v>16.742857142857144</v>
      </c>
      <c r="R42" s="375">
        <f>+AVERAGE(R4:R38)</f>
        <v>45.4</v>
      </c>
      <c r="S42" s="375" t="s">
        <v>285</v>
      </c>
      <c r="T42" s="376">
        <f>AVERAGE(T31:T38)</f>
        <v>30.532</v>
      </c>
      <c r="U42" s="376">
        <f>AVERAGE(U31:U38)</f>
        <v>28.576000000000001</v>
      </c>
      <c r="V42" s="376">
        <f>AVERAGE(V31:V38)</f>
        <v>38.5</v>
      </c>
      <c r="W42" s="376">
        <f>AVERAGE(W31:W38)</f>
        <v>31.134000000000004</v>
      </c>
      <c r="Y42" s="375">
        <f>AVERAGE(Y4:Y39)</f>
        <v>11.944444444444445</v>
      </c>
      <c r="Z42" s="375">
        <f>AVERAGE(Z4:Z39)</f>
        <v>10.277777777777779</v>
      </c>
      <c r="AA42" s="375">
        <f>AVERAGE(AA4:AA39)</f>
        <v>4.8611111111111107</v>
      </c>
    </row>
    <row r="43" spans="1:32" s="3" customFormat="1" ht="17.25" customHeight="1" x14ac:dyDescent="0.2">
      <c r="A43" s="2" t="s">
        <v>317</v>
      </c>
      <c r="B43" s="2" t="s">
        <v>318</v>
      </c>
      <c r="C43" s="438" t="s">
        <v>6</v>
      </c>
      <c r="D43" s="438"/>
      <c r="E43" s="438"/>
      <c r="F43" s="438"/>
      <c r="G43" s="438"/>
      <c r="H43" s="438"/>
      <c r="I43" s="438"/>
      <c r="J43" s="438"/>
      <c r="K43" s="332" t="s">
        <v>122</v>
      </c>
      <c r="L43" s="2"/>
      <c r="M43" s="332" t="s">
        <v>125</v>
      </c>
      <c r="N43" s="2"/>
      <c r="O43" s="438" t="s">
        <v>126</v>
      </c>
      <c r="P43" s="438"/>
      <c r="Q43" s="438"/>
      <c r="R43" s="438"/>
      <c r="S43" s="2"/>
      <c r="T43" s="438" t="s">
        <v>319</v>
      </c>
      <c r="U43" s="438"/>
      <c r="V43" s="438"/>
      <c r="W43" s="438"/>
      <c r="Y43" s="41" t="s">
        <v>320</v>
      </c>
      <c r="AA43" s="43"/>
      <c r="AD43" s="439" t="s">
        <v>124</v>
      </c>
      <c r="AE43" s="439"/>
    </row>
    <row r="44" spans="1:32" s="37" customFormat="1" ht="16" x14ac:dyDescent="0.2">
      <c r="A44" s="25"/>
      <c r="B44" s="25"/>
      <c r="C44" s="24" t="s">
        <v>310</v>
      </c>
      <c r="D44" s="24" t="s">
        <v>125</v>
      </c>
      <c r="E44" s="24" t="s">
        <v>536</v>
      </c>
      <c r="F44" s="24" t="s">
        <v>537</v>
      </c>
      <c r="G44" s="24" t="s">
        <v>538</v>
      </c>
      <c r="H44" s="24" t="s">
        <v>539</v>
      </c>
      <c r="I44" s="24" t="s">
        <v>667</v>
      </c>
      <c r="J44" s="24" t="s">
        <v>540</v>
      </c>
      <c r="K44" s="23" t="s">
        <v>323</v>
      </c>
      <c r="L44" s="24" t="s">
        <v>324</v>
      </c>
      <c r="M44" s="23" t="s">
        <v>323</v>
      </c>
      <c r="N44" s="23" t="s">
        <v>324</v>
      </c>
      <c r="O44" s="23" t="s">
        <v>325</v>
      </c>
      <c r="P44" s="23" t="s">
        <v>326</v>
      </c>
      <c r="Q44" s="23" t="s">
        <v>327</v>
      </c>
      <c r="R44" s="23" t="s">
        <v>323</v>
      </c>
      <c r="S44" s="25" t="s">
        <v>328</v>
      </c>
      <c r="T44" s="23" t="s">
        <v>329</v>
      </c>
      <c r="U44" s="23" t="s">
        <v>330</v>
      </c>
      <c r="V44" s="23" t="s">
        <v>331</v>
      </c>
      <c r="W44" s="26" t="s">
        <v>323</v>
      </c>
      <c r="X44" s="27"/>
      <c r="Y44" s="27" t="s">
        <v>332</v>
      </c>
      <c r="Z44" s="27" t="s">
        <v>333</v>
      </c>
      <c r="AA44" s="27" t="s">
        <v>334</v>
      </c>
      <c r="AB44" s="27" t="s">
        <v>647</v>
      </c>
      <c r="AC44" s="27"/>
      <c r="AD44" s="27" t="s">
        <v>124</v>
      </c>
      <c r="AE44" s="27" t="s">
        <v>328</v>
      </c>
    </row>
    <row r="45" spans="1:32" ht="16" x14ac:dyDescent="0.2">
      <c r="A45" s="389" t="s">
        <v>130</v>
      </c>
      <c r="B45" s="28" t="s">
        <v>130</v>
      </c>
      <c r="C45" s="384">
        <v>1</v>
      </c>
      <c r="D45" s="386">
        <v>0</v>
      </c>
      <c r="E45" s="386">
        <v>0</v>
      </c>
      <c r="F45" s="386">
        <v>0</v>
      </c>
      <c r="G45" s="386">
        <v>0</v>
      </c>
      <c r="H45" s="386">
        <v>0</v>
      </c>
      <c r="I45" s="386"/>
      <c r="J45" s="384"/>
      <c r="K45" s="437" t="s">
        <v>280</v>
      </c>
      <c r="L45" s="437"/>
      <c r="M45" s="4">
        <v>4</v>
      </c>
      <c r="N45" s="4" t="s">
        <v>349</v>
      </c>
      <c r="O45" s="4">
        <v>2</v>
      </c>
      <c r="P45" s="4">
        <v>2</v>
      </c>
      <c r="Q45" s="4">
        <v>7</v>
      </c>
      <c r="R45" s="4">
        <v>11</v>
      </c>
      <c r="S45" s="4" t="s">
        <v>41</v>
      </c>
      <c r="T45" s="441" t="s">
        <v>280</v>
      </c>
      <c r="U45" s="441"/>
      <c r="V45" s="441"/>
      <c r="W45" s="441"/>
      <c r="X45" s="4"/>
      <c r="Y45" s="4">
        <v>4</v>
      </c>
      <c r="Z45" s="4">
        <v>5</v>
      </c>
      <c r="AA45" s="4">
        <v>3</v>
      </c>
      <c r="AB45" s="4">
        <f>SUM(Y45:AA45)</f>
        <v>12</v>
      </c>
      <c r="AC45" s="4"/>
      <c r="AD45" s="440" t="s">
        <v>285</v>
      </c>
      <c r="AE45" s="440"/>
      <c r="AF45" s="4"/>
    </row>
    <row r="46" spans="1:32" ht="16" x14ac:dyDescent="0.2">
      <c r="A46" s="389" t="s">
        <v>148</v>
      </c>
      <c r="B46" s="28" t="s">
        <v>131</v>
      </c>
      <c r="C46" s="384">
        <v>1</v>
      </c>
      <c r="D46" s="386">
        <v>0</v>
      </c>
      <c r="E46" s="386">
        <v>0</v>
      </c>
      <c r="F46" s="386">
        <v>0</v>
      </c>
      <c r="G46" s="386">
        <v>0</v>
      </c>
      <c r="H46" s="386">
        <v>0</v>
      </c>
      <c r="I46" s="386"/>
      <c r="J46" s="384"/>
      <c r="K46" s="437" t="s">
        <v>280</v>
      </c>
      <c r="L46" s="437"/>
      <c r="M46" s="4">
        <v>1</v>
      </c>
      <c r="N46" s="4" t="s">
        <v>349</v>
      </c>
      <c r="O46" s="4">
        <v>8</v>
      </c>
      <c r="P46" s="4">
        <v>0</v>
      </c>
      <c r="Q46" s="4">
        <v>2</v>
      </c>
      <c r="R46" s="4">
        <v>10</v>
      </c>
      <c r="S46" s="4" t="s">
        <v>41</v>
      </c>
      <c r="T46" s="441" t="s">
        <v>280</v>
      </c>
      <c r="U46" s="441"/>
      <c r="V46" s="441"/>
      <c r="W46" s="441"/>
      <c r="X46" s="4"/>
      <c r="Y46" s="4">
        <v>3</v>
      </c>
      <c r="Z46" s="4">
        <v>2</v>
      </c>
      <c r="AA46" s="4">
        <v>3</v>
      </c>
      <c r="AB46" s="4">
        <f t="shared" ref="AB46:AB65" si="2">SUM(Y46:AA46)</f>
        <v>8</v>
      </c>
      <c r="AC46" s="4"/>
      <c r="AD46" s="440" t="s">
        <v>285</v>
      </c>
      <c r="AE46" s="440"/>
      <c r="AF46" s="4"/>
    </row>
    <row r="47" spans="1:32" ht="16" x14ac:dyDescent="0.2">
      <c r="A47" s="389" t="s">
        <v>149</v>
      </c>
      <c r="B47" s="28" t="s">
        <v>132</v>
      </c>
      <c r="C47" s="384">
        <v>1</v>
      </c>
      <c r="D47" s="384">
        <v>0</v>
      </c>
      <c r="E47" s="386">
        <v>0</v>
      </c>
      <c r="F47" s="386">
        <v>0</v>
      </c>
      <c r="G47" s="386">
        <v>0</v>
      </c>
      <c r="H47" s="386">
        <v>0</v>
      </c>
      <c r="I47" s="386"/>
      <c r="J47" s="384"/>
      <c r="K47" s="437" t="s">
        <v>280</v>
      </c>
      <c r="L47" s="437"/>
      <c r="M47" s="4">
        <v>0</v>
      </c>
      <c r="N47" s="4" t="s">
        <v>349</v>
      </c>
      <c r="O47" s="4">
        <v>9</v>
      </c>
      <c r="P47" s="4">
        <v>0</v>
      </c>
      <c r="Q47" s="4">
        <v>2</v>
      </c>
      <c r="R47" s="4">
        <v>11</v>
      </c>
      <c r="S47" s="4" t="s">
        <v>41</v>
      </c>
      <c r="T47" s="441" t="s">
        <v>280</v>
      </c>
      <c r="U47" s="441"/>
      <c r="V47" s="441"/>
      <c r="W47" s="441"/>
      <c r="X47" s="4"/>
      <c r="Y47" s="4">
        <v>8</v>
      </c>
      <c r="Z47" s="4">
        <v>7</v>
      </c>
      <c r="AA47" s="4">
        <v>0</v>
      </c>
      <c r="AB47" s="4">
        <f t="shared" si="2"/>
        <v>15</v>
      </c>
      <c r="AC47" s="4"/>
      <c r="AD47" s="440" t="s">
        <v>285</v>
      </c>
      <c r="AE47" s="440"/>
      <c r="AF47" s="4"/>
    </row>
    <row r="48" spans="1:32" ht="16" x14ac:dyDescent="0.2">
      <c r="A48" s="389" t="s">
        <v>150</v>
      </c>
      <c r="B48" s="28" t="s">
        <v>133</v>
      </c>
      <c r="C48" s="384">
        <v>1</v>
      </c>
      <c r="D48" s="384">
        <v>0</v>
      </c>
      <c r="E48" s="386">
        <v>0</v>
      </c>
      <c r="F48" s="386">
        <v>0</v>
      </c>
      <c r="G48" s="386">
        <v>0</v>
      </c>
      <c r="H48" s="386">
        <v>0</v>
      </c>
      <c r="I48" s="386"/>
      <c r="J48" s="384"/>
      <c r="K48" s="437" t="s">
        <v>280</v>
      </c>
      <c r="L48" s="437"/>
      <c r="M48" s="39">
        <v>11</v>
      </c>
      <c r="N48" s="39" t="s">
        <v>353</v>
      </c>
      <c r="O48" s="4">
        <v>10</v>
      </c>
      <c r="P48" s="4">
        <v>2</v>
      </c>
      <c r="Q48" s="4">
        <v>12</v>
      </c>
      <c r="R48" s="4">
        <v>24</v>
      </c>
      <c r="S48" s="4" t="s">
        <v>41</v>
      </c>
      <c r="T48" s="441" t="s">
        <v>280</v>
      </c>
      <c r="U48" s="441"/>
      <c r="V48" s="441"/>
      <c r="W48" s="441"/>
      <c r="X48" s="4"/>
      <c r="Y48" s="4">
        <v>7</v>
      </c>
      <c r="Z48" s="4">
        <v>7</v>
      </c>
      <c r="AA48" s="4">
        <v>1</v>
      </c>
      <c r="AB48" s="4">
        <f t="shared" si="2"/>
        <v>15</v>
      </c>
      <c r="AC48" s="4"/>
      <c r="AD48" s="440" t="s">
        <v>285</v>
      </c>
      <c r="AE48" s="440"/>
      <c r="AF48" s="4"/>
    </row>
    <row r="49" spans="1:32" ht="16" x14ac:dyDescent="0.2">
      <c r="A49" s="389" t="s">
        <v>151</v>
      </c>
      <c r="B49" s="28" t="s">
        <v>134</v>
      </c>
      <c r="C49" s="384">
        <v>1</v>
      </c>
      <c r="D49" s="384">
        <v>1</v>
      </c>
      <c r="E49" s="386">
        <v>0</v>
      </c>
      <c r="F49" s="386">
        <v>0</v>
      </c>
      <c r="G49" s="386">
        <v>0</v>
      </c>
      <c r="H49" s="386">
        <v>0</v>
      </c>
      <c r="I49" s="386"/>
      <c r="J49" s="384"/>
      <c r="K49" s="437" t="s">
        <v>280</v>
      </c>
      <c r="L49" s="437"/>
      <c r="M49" s="4">
        <v>6</v>
      </c>
      <c r="N49" s="4" t="s">
        <v>355</v>
      </c>
      <c r="O49" s="4">
        <v>14</v>
      </c>
      <c r="P49" s="4">
        <v>0</v>
      </c>
      <c r="Q49" s="4">
        <v>2</v>
      </c>
      <c r="R49" s="4">
        <v>16</v>
      </c>
      <c r="S49" s="4" t="s">
        <v>41</v>
      </c>
      <c r="T49" s="441" t="s">
        <v>280</v>
      </c>
      <c r="U49" s="441"/>
      <c r="V49" s="441"/>
      <c r="W49" s="441"/>
      <c r="X49" s="4"/>
      <c r="Y49" s="4">
        <v>0</v>
      </c>
      <c r="Z49" s="4">
        <v>0</v>
      </c>
      <c r="AA49" s="4">
        <v>0</v>
      </c>
      <c r="AB49" s="4">
        <f t="shared" si="2"/>
        <v>0</v>
      </c>
      <c r="AC49" s="4"/>
      <c r="AD49" s="440" t="s">
        <v>285</v>
      </c>
      <c r="AE49" s="440"/>
      <c r="AF49" s="4"/>
    </row>
    <row r="50" spans="1:32" ht="16" x14ac:dyDescent="0.2">
      <c r="A50" s="389" t="s">
        <v>152</v>
      </c>
      <c r="B50" s="28" t="s">
        <v>135</v>
      </c>
      <c r="C50" s="384">
        <v>1</v>
      </c>
      <c r="D50" s="386">
        <v>0</v>
      </c>
      <c r="E50" s="386">
        <v>0</v>
      </c>
      <c r="F50" s="386">
        <v>0</v>
      </c>
      <c r="G50" s="386">
        <v>0</v>
      </c>
      <c r="H50" s="386">
        <v>0</v>
      </c>
      <c r="I50" s="386"/>
      <c r="J50" s="384"/>
      <c r="K50" s="437" t="s">
        <v>280</v>
      </c>
      <c r="L50" s="437"/>
      <c r="M50" s="4">
        <v>0</v>
      </c>
      <c r="N50" s="4" t="s">
        <v>349</v>
      </c>
      <c r="O50" s="4">
        <v>4</v>
      </c>
      <c r="P50" s="4">
        <v>10</v>
      </c>
      <c r="Q50" s="4">
        <v>0</v>
      </c>
      <c r="R50" s="4">
        <v>14</v>
      </c>
      <c r="S50" s="4" t="s">
        <v>41</v>
      </c>
      <c r="T50" s="441" t="s">
        <v>280</v>
      </c>
      <c r="U50" s="441"/>
      <c r="V50" s="441"/>
      <c r="W50" s="441"/>
      <c r="X50" s="4"/>
      <c r="Y50" s="4">
        <v>0</v>
      </c>
      <c r="Z50" s="4">
        <v>0</v>
      </c>
      <c r="AA50" s="4">
        <v>0</v>
      </c>
      <c r="AB50" s="4">
        <f t="shared" si="2"/>
        <v>0</v>
      </c>
      <c r="AC50" s="4"/>
      <c r="AD50" s="440" t="s">
        <v>285</v>
      </c>
      <c r="AE50" s="440"/>
      <c r="AF50" s="4"/>
    </row>
    <row r="51" spans="1:32" ht="16" x14ac:dyDescent="0.2">
      <c r="A51" s="389" t="s">
        <v>136</v>
      </c>
      <c r="B51" s="28" t="s">
        <v>136</v>
      </c>
      <c r="C51" s="384">
        <v>1</v>
      </c>
      <c r="D51" s="386">
        <v>0</v>
      </c>
      <c r="E51" s="386">
        <v>0</v>
      </c>
      <c r="F51" s="386">
        <v>0</v>
      </c>
      <c r="G51" s="386">
        <v>0</v>
      </c>
      <c r="H51" s="386">
        <v>0</v>
      </c>
      <c r="I51" s="386"/>
      <c r="J51" s="384"/>
      <c r="K51" s="437" t="s">
        <v>280</v>
      </c>
      <c r="L51" s="437"/>
      <c r="M51" s="15">
        <v>2</v>
      </c>
      <c r="N51" s="15" t="s">
        <v>349</v>
      </c>
      <c r="O51" s="15">
        <v>6</v>
      </c>
      <c r="P51" s="15">
        <v>2</v>
      </c>
      <c r="Q51" s="15">
        <v>2</v>
      </c>
      <c r="R51" s="15">
        <v>10</v>
      </c>
      <c r="S51" s="15" t="s">
        <v>41</v>
      </c>
      <c r="T51" s="441" t="s">
        <v>280</v>
      </c>
      <c r="U51" s="441"/>
      <c r="V51" s="441"/>
      <c r="W51" s="441"/>
      <c r="X51" s="4"/>
      <c r="Y51" s="4">
        <v>5</v>
      </c>
      <c r="Z51" s="4">
        <v>1</v>
      </c>
      <c r="AA51" s="4">
        <v>1</v>
      </c>
      <c r="AB51" s="4">
        <f t="shared" si="2"/>
        <v>7</v>
      </c>
      <c r="AC51" s="4"/>
      <c r="AD51" s="440" t="s">
        <v>285</v>
      </c>
      <c r="AE51" s="440"/>
      <c r="AF51" s="4"/>
    </row>
    <row r="52" spans="1:32" ht="16" x14ac:dyDescent="0.2">
      <c r="A52" s="389" t="s">
        <v>153</v>
      </c>
      <c r="B52" s="28" t="s">
        <v>137</v>
      </c>
      <c r="C52" s="384">
        <v>1</v>
      </c>
      <c r="D52" s="384">
        <v>0</v>
      </c>
      <c r="E52" s="386">
        <v>0</v>
      </c>
      <c r="F52" s="386">
        <v>0</v>
      </c>
      <c r="G52" s="386">
        <v>0</v>
      </c>
      <c r="H52" s="386">
        <v>0</v>
      </c>
      <c r="I52" s="386"/>
      <c r="J52" s="384"/>
      <c r="K52" s="437" t="s">
        <v>280</v>
      </c>
      <c r="L52" s="437"/>
      <c r="M52" s="4">
        <v>5</v>
      </c>
      <c r="N52" s="4" t="s">
        <v>355</v>
      </c>
      <c r="O52" s="4">
        <v>10</v>
      </c>
      <c r="P52" s="4">
        <v>0</v>
      </c>
      <c r="Q52" s="4">
        <v>6</v>
      </c>
      <c r="R52" s="4">
        <v>16</v>
      </c>
      <c r="S52" s="4" t="s">
        <v>41</v>
      </c>
      <c r="T52" s="441" t="s">
        <v>280</v>
      </c>
      <c r="U52" s="441"/>
      <c r="V52" s="441"/>
      <c r="W52" s="441"/>
      <c r="X52" s="4"/>
      <c r="Y52" s="4">
        <v>10</v>
      </c>
      <c r="Z52" s="4">
        <v>11</v>
      </c>
      <c r="AA52" s="4">
        <v>2</v>
      </c>
      <c r="AB52" s="4">
        <f t="shared" si="2"/>
        <v>23</v>
      </c>
      <c r="AC52" s="4"/>
      <c r="AD52" s="440" t="s">
        <v>285</v>
      </c>
      <c r="AE52" s="440"/>
      <c r="AF52" s="4"/>
    </row>
    <row r="53" spans="1:32" ht="16" x14ac:dyDescent="0.2">
      <c r="A53" s="389" t="s">
        <v>154</v>
      </c>
      <c r="B53" s="28" t="s">
        <v>138</v>
      </c>
      <c r="C53" s="384">
        <v>1</v>
      </c>
      <c r="D53" s="384">
        <v>0</v>
      </c>
      <c r="E53" s="386">
        <v>0</v>
      </c>
      <c r="F53" s="386">
        <v>0</v>
      </c>
      <c r="G53" s="386">
        <v>0</v>
      </c>
      <c r="H53" s="386">
        <v>0</v>
      </c>
      <c r="I53" s="386"/>
      <c r="J53" s="384"/>
      <c r="K53" s="437" t="s">
        <v>280</v>
      </c>
      <c r="L53" s="437"/>
      <c r="M53" s="4">
        <v>5</v>
      </c>
      <c r="N53" s="4" t="s">
        <v>355</v>
      </c>
      <c r="O53" s="4">
        <v>12</v>
      </c>
      <c r="P53" s="4">
        <v>0</v>
      </c>
      <c r="Q53" s="4">
        <v>0</v>
      </c>
      <c r="R53" s="4">
        <v>12</v>
      </c>
      <c r="S53" s="4" t="s">
        <v>41</v>
      </c>
      <c r="T53" s="441" t="s">
        <v>280</v>
      </c>
      <c r="U53" s="441"/>
      <c r="V53" s="441"/>
      <c r="W53" s="441"/>
      <c r="X53" s="4"/>
      <c r="Y53" s="4">
        <v>4</v>
      </c>
      <c r="Z53" s="4">
        <v>0</v>
      </c>
      <c r="AA53" s="4">
        <v>0</v>
      </c>
      <c r="AB53" s="4">
        <f t="shared" si="2"/>
        <v>4</v>
      </c>
      <c r="AC53" s="4"/>
      <c r="AD53" s="440" t="s">
        <v>285</v>
      </c>
      <c r="AE53" s="440"/>
      <c r="AF53" s="4"/>
    </row>
    <row r="54" spans="1:32" ht="16" x14ac:dyDescent="0.2">
      <c r="A54" s="389" t="s">
        <v>155</v>
      </c>
      <c r="B54" s="28" t="s">
        <v>139</v>
      </c>
      <c r="C54" s="384">
        <v>1</v>
      </c>
      <c r="D54" s="386">
        <v>0</v>
      </c>
      <c r="E54" s="386">
        <v>0</v>
      </c>
      <c r="F54" s="386">
        <v>0</v>
      </c>
      <c r="G54" s="386">
        <v>0</v>
      </c>
      <c r="H54" s="386">
        <v>0</v>
      </c>
      <c r="I54" s="386"/>
      <c r="J54" s="384"/>
      <c r="K54" s="437" t="s">
        <v>280</v>
      </c>
      <c r="L54" s="437"/>
      <c r="M54" s="4">
        <v>2</v>
      </c>
      <c r="N54" s="4" t="s">
        <v>355</v>
      </c>
      <c r="O54" s="4">
        <v>12</v>
      </c>
      <c r="P54" s="4">
        <v>0</v>
      </c>
      <c r="Q54" s="4">
        <v>4</v>
      </c>
      <c r="R54" s="4">
        <v>16</v>
      </c>
      <c r="S54" s="4" t="s">
        <v>41</v>
      </c>
      <c r="T54" s="441" t="s">
        <v>280</v>
      </c>
      <c r="U54" s="441"/>
      <c r="V54" s="441"/>
      <c r="W54" s="441"/>
      <c r="X54" s="4"/>
      <c r="Y54" s="4">
        <v>4</v>
      </c>
      <c r="Z54" s="4">
        <v>0</v>
      </c>
      <c r="AA54" s="4">
        <v>0</v>
      </c>
      <c r="AB54" s="4">
        <f t="shared" si="2"/>
        <v>4</v>
      </c>
      <c r="AC54" s="4"/>
      <c r="AD54" s="440" t="s">
        <v>285</v>
      </c>
      <c r="AE54" s="440"/>
      <c r="AF54" s="4"/>
    </row>
    <row r="55" spans="1:32" ht="16" x14ac:dyDescent="0.2">
      <c r="A55" s="389" t="s">
        <v>156</v>
      </c>
      <c r="B55" s="28" t="s">
        <v>140</v>
      </c>
      <c r="C55" s="384">
        <v>1</v>
      </c>
      <c r="D55" s="386">
        <v>0</v>
      </c>
      <c r="E55" s="386">
        <v>0</v>
      </c>
      <c r="F55" s="386">
        <v>0</v>
      </c>
      <c r="G55" s="386">
        <v>0</v>
      </c>
      <c r="H55" s="386">
        <v>0</v>
      </c>
      <c r="I55" s="386"/>
      <c r="J55" s="384"/>
      <c r="K55" s="437" t="s">
        <v>280</v>
      </c>
      <c r="L55" s="437"/>
      <c r="M55" s="4">
        <v>5</v>
      </c>
      <c r="N55" s="4" t="s">
        <v>355</v>
      </c>
      <c r="O55" s="4">
        <v>4</v>
      </c>
      <c r="P55" s="4">
        <v>0</v>
      </c>
      <c r="Q55" s="4">
        <v>10</v>
      </c>
      <c r="R55" s="4">
        <v>14</v>
      </c>
      <c r="S55" s="4" t="s">
        <v>41</v>
      </c>
      <c r="T55" s="441" t="s">
        <v>280</v>
      </c>
      <c r="U55" s="441"/>
      <c r="V55" s="441"/>
      <c r="W55" s="441"/>
      <c r="X55" s="4"/>
      <c r="Y55" s="4">
        <v>9</v>
      </c>
      <c r="Z55" s="4">
        <v>9</v>
      </c>
      <c r="AA55" s="4">
        <v>1</v>
      </c>
      <c r="AB55" s="4">
        <f t="shared" si="2"/>
        <v>19</v>
      </c>
      <c r="AC55" s="4"/>
      <c r="AD55" s="440" t="s">
        <v>285</v>
      </c>
      <c r="AE55" s="440"/>
      <c r="AF55" s="4"/>
    </row>
    <row r="56" spans="1:32" ht="16" x14ac:dyDescent="0.2">
      <c r="A56" s="389" t="s">
        <v>157</v>
      </c>
      <c r="B56" s="28" t="s">
        <v>141</v>
      </c>
      <c r="C56" s="384">
        <v>1</v>
      </c>
      <c r="D56" s="384">
        <v>0</v>
      </c>
      <c r="E56" s="386">
        <v>0</v>
      </c>
      <c r="F56" s="386">
        <v>0</v>
      </c>
      <c r="G56" s="386">
        <v>0</v>
      </c>
      <c r="H56" s="386">
        <v>0</v>
      </c>
      <c r="I56" s="386"/>
      <c r="J56" s="384"/>
      <c r="K56" s="437" t="s">
        <v>280</v>
      </c>
      <c r="L56" s="437"/>
      <c r="M56" s="4">
        <v>6</v>
      </c>
      <c r="N56" s="4" t="s">
        <v>355</v>
      </c>
      <c r="O56" s="4">
        <v>17</v>
      </c>
      <c r="P56" s="4">
        <v>2</v>
      </c>
      <c r="Q56" s="4">
        <v>7</v>
      </c>
      <c r="R56" s="4">
        <v>26</v>
      </c>
      <c r="S56" s="4" t="s">
        <v>41</v>
      </c>
      <c r="T56" s="441" t="s">
        <v>280</v>
      </c>
      <c r="U56" s="441"/>
      <c r="V56" s="441"/>
      <c r="W56" s="441"/>
      <c r="X56" s="4"/>
      <c r="Y56" s="4">
        <v>12</v>
      </c>
      <c r="Z56" s="4">
        <v>1</v>
      </c>
      <c r="AA56" s="4">
        <v>2</v>
      </c>
      <c r="AB56" s="4">
        <f t="shared" si="2"/>
        <v>15</v>
      </c>
      <c r="AC56" s="4"/>
      <c r="AD56" s="440" t="s">
        <v>285</v>
      </c>
      <c r="AE56" s="440"/>
      <c r="AF56" s="4"/>
    </row>
    <row r="57" spans="1:32" ht="16" x14ac:dyDescent="0.2">
      <c r="A57" s="389" t="s">
        <v>225</v>
      </c>
      <c r="B57" s="28" t="s">
        <v>142</v>
      </c>
      <c r="C57" s="384">
        <v>1</v>
      </c>
      <c r="D57" s="384">
        <v>0</v>
      </c>
      <c r="E57" s="386">
        <v>0</v>
      </c>
      <c r="F57" s="386">
        <v>0</v>
      </c>
      <c r="G57" s="386">
        <v>0</v>
      </c>
      <c r="H57" s="386">
        <v>0</v>
      </c>
      <c r="I57" s="386"/>
      <c r="J57" s="384"/>
      <c r="K57" s="437" t="s">
        <v>280</v>
      </c>
      <c r="L57" s="437"/>
      <c r="M57" s="4">
        <v>2</v>
      </c>
      <c r="N57" s="4" t="s">
        <v>349</v>
      </c>
      <c r="O57" s="4">
        <v>2</v>
      </c>
      <c r="P57" s="4">
        <v>4</v>
      </c>
      <c r="Q57" s="4">
        <v>4</v>
      </c>
      <c r="R57" s="4">
        <v>10</v>
      </c>
      <c r="S57" s="4" t="s">
        <v>41</v>
      </c>
      <c r="T57" s="441" t="s">
        <v>280</v>
      </c>
      <c r="U57" s="441"/>
      <c r="V57" s="441"/>
      <c r="W57" s="441"/>
      <c r="X57" s="4"/>
      <c r="Y57" s="4">
        <v>4</v>
      </c>
      <c r="Z57" s="4">
        <v>1</v>
      </c>
      <c r="AA57" s="4">
        <v>2</v>
      </c>
      <c r="AB57" s="4">
        <f t="shared" si="2"/>
        <v>7</v>
      </c>
      <c r="AC57" s="4"/>
      <c r="AD57" s="440" t="s">
        <v>285</v>
      </c>
      <c r="AE57" s="440"/>
      <c r="AF57" s="4"/>
    </row>
    <row r="58" spans="1:32" ht="16" x14ac:dyDescent="0.2">
      <c r="A58" s="389" t="s">
        <v>159</v>
      </c>
      <c r="B58" s="28" t="s">
        <v>143</v>
      </c>
      <c r="C58" s="384">
        <v>1</v>
      </c>
      <c r="D58" s="386">
        <v>0</v>
      </c>
      <c r="E58" s="386">
        <v>0</v>
      </c>
      <c r="F58" s="386">
        <v>0</v>
      </c>
      <c r="G58" s="386">
        <v>0</v>
      </c>
      <c r="H58" s="386">
        <v>0</v>
      </c>
      <c r="I58" s="386"/>
      <c r="J58" s="384"/>
      <c r="K58" s="437" t="s">
        <v>280</v>
      </c>
      <c r="L58" s="437"/>
      <c r="M58" s="4">
        <v>2</v>
      </c>
      <c r="N58" s="4" t="s">
        <v>349</v>
      </c>
      <c r="O58" s="4">
        <v>12</v>
      </c>
      <c r="P58" s="4">
        <v>0</v>
      </c>
      <c r="Q58" s="4">
        <v>4</v>
      </c>
      <c r="R58" s="4">
        <v>16</v>
      </c>
      <c r="S58" s="4" t="s">
        <v>41</v>
      </c>
      <c r="T58" s="441" t="s">
        <v>280</v>
      </c>
      <c r="U58" s="441"/>
      <c r="V58" s="441"/>
      <c r="W58" s="441"/>
      <c r="X58" s="4"/>
      <c r="Y58" s="4">
        <v>2</v>
      </c>
      <c r="Z58" s="4">
        <v>2</v>
      </c>
      <c r="AA58" s="4">
        <v>0</v>
      </c>
      <c r="AB58" s="4">
        <f t="shared" si="2"/>
        <v>4</v>
      </c>
      <c r="AC58" s="4"/>
      <c r="AD58" s="440" t="s">
        <v>285</v>
      </c>
      <c r="AE58" s="440"/>
      <c r="AF58" s="4"/>
    </row>
    <row r="59" spans="1:32" ht="16" x14ac:dyDescent="0.2">
      <c r="A59" s="390" t="s">
        <v>160</v>
      </c>
      <c r="B59" s="28" t="s">
        <v>144</v>
      </c>
      <c r="C59" s="384">
        <v>1</v>
      </c>
      <c r="D59" s="386">
        <v>0</v>
      </c>
      <c r="E59" s="386">
        <v>0</v>
      </c>
      <c r="F59" s="386">
        <v>0</v>
      </c>
      <c r="G59" s="386">
        <v>0</v>
      </c>
      <c r="H59" s="386">
        <v>0</v>
      </c>
      <c r="I59" s="386"/>
      <c r="J59" s="384"/>
      <c r="K59" s="437" t="s">
        <v>280</v>
      </c>
      <c r="L59" s="437"/>
      <c r="M59" s="4">
        <v>2</v>
      </c>
      <c r="N59" s="4" t="s">
        <v>349</v>
      </c>
      <c r="O59" s="4">
        <v>16</v>
      </c>
      <c r="P59" s="4">
        <v>0</v>
      </c>
      <c r="Q59" s="4">
        <v>4</v>
      </c>
      <c r="R59" s="4">
        <v>20</v>
      </c>
      <c r="S59" s="4" t="s">
        <v>41</v>
      </c>
      <c r="T59" s="441" t="s">
        <v>280</v>
      </c>
      <c r="U59" s="441"/>
      <c r="V59" s="441"/>
      <c r="W59" s="441"/>
      <c r="X59" s="4"/>
      <c r="Y59" s="39">
        <v>15</v>
      </c>
      <c r="Z59" s="4">
        <v>8</v>
      </c>
      <c r="AA59" s="4">
        <v>4</v>
      </c>
      <c r="AB59" s="4">
        <f t="shared" si="2"/>
        <v>27</v>
      </c>
      <c r="AC59" s="4"/>
      <c r="AD59" s="440" t="s">
        <v>285</v>
      </c>
      <c r="AE59" s="440"/>
      <c r="AF59" s="4"/>
    </row>
    <row r="60" spans="1:32" ht="16" x14ac:dyDescent="0.2">
      <c r="A60" s="389" t="s">
        <v>161</v>
      </c>
      <c r="B60" s="28" t="s">
        <v>145</v>
      </c>
      <c r="C60" s="384">
        <v>1</v>
      </c>
      <c r="D60" s="384">
        <v>0</v>
      </c>
      <c r="E60" s="386">
        <v>0</v>
      </c>
      <c r="F60" s="386">
        <v>0</v>
      </c>
      <c r="G60" s="386">
        <v>0</v>
      </c>
      <c r="H60" s="386">
        <v>0</v>
      </c>
      <c r="I60" s="386"/>
      <c r="J60" s="384"/>
      <c r="K60" s="437" t="s">
        <v>280</v>
      </c>
      <c r="L60" s="437"/>
      <c r="M60" s="4">
        <v>1</v>
      </c>
      <c r="N60" s="15" t="s">
        <v>349</v>
      </c>
      <c r="O60" s="15">
        <v>15</v>
      </c>
      <c r="P60" s="15">
        <v>4</v>
      </c>
      <c r="Q60" s="15">
        <v>4</v>
      </c>
      <c r="R60" s="15">
        <v>23</v>
      </c>
      <c r="S60" s="15" t="s">
        <v>41</v>
      </c>
      <c r="T60" s="441" t="s">
        <v>280</v>
      </c>
      <c r="U60" s="441"/>
      <c r="V60" s="441"/>
      <c r="W60" s="441"/>
      <c r="X60" s="4"/>
      <c r="Y60" s="39">
        <v>16</v>
      </c>
      <c r="Z60" s="4">
        <v>13</v>
      </c>
      <c r="AA60" s="4">
        <v>4</v>
      </c>
      <c r="AB60" s="4">
        <f t="shared" si="2"/>
        <v>33</v>
      </c>
      <c r="AC60" s="4"/>
      <c r="AD60" s="440" t="s">
        <v>285</v>
      </c>
      <c r="AE60" s="440"/>
      <c r="AF60" s="4"/>
    </row>
    <row r="61" spans="1:32" ht="16" x14ac:dyDescent="0.2">
      <c r="A61" s="389" t="s">
        <v>162</v>
      </c>
      <c r="B61" s="28" t="s">
        <v>146</v>
      </c>
      <c r="C61" s="384">
        <v>1</v>
      </c>
      <c r="D61" s="384">
        <v>0</v>
      </c>
      <c r="E61" s="386">
        <v>0</v>
      </c>
      <c r="F61" s="386">
        <v>0</v>
      </c>
      <c r="G61" s="386">
        <v>0</v>
      </c>
      <c r="H61" s="386">
        <v>0</v>
      </c>
      <c r="I61" s="386"/>
      <c r="J61" s="384"/>
      <c r="K61" s="437" t="s">
        <v>280</v>
      </c>
      <c r="L61" s="437"/>
      <c r="M61" s="4">
        <v>0</v>
      </c>
      <c r="N61" s="4" t="s">
        <v>349</v>
      </c>
      <c r="O61" s="4">
        <v>4</v>
      </c>
      <c r="P61" s="4">
        <v>13</v>
      </c>
      <c r="Q61" s="4">
        <v>4</v>
      </c>
      <c r="R61" s="4">
        <v>21</v>
      </c>
      <c r="S61" s="4" t="s">
        <v>41</v>
      </c>
      <c r="T61" s="441" t="s">
        <v>280</v>
      </c>
      <c r="U61" s="441"/>
      <c r="V61" s="441"/>
      <c r="W61" s="441"/>
      <c r="X61" s="4"/>
      <c r="Y61" s="4">
        <v>6</v>
      </c>
      <c r="Z61" s="4">
        <v>4</v>
      </c>
      <c r="AA61" s="4">
        <v>2</v>
      </c>
      <c r="AB61" s="4">
        <f t="shared" si="2"/>
        <v>12</v>
      </c>
      <c r="AC61" s="4"/>
      <c r="AD61" s="440" t="s">
        <v>285</v>
      </c>
      <c r="AE61" s="440"/>
      <c r="AF61" s="4"/>
    </row>
    <row r="62" spans="1:32" ht="16" x14ac:dyDescent="0.2">
      <c r="A62" s="389" t="s">
        <v>163</v>
      </c>
      <c r="B62" s="28" t="s">
        <v>147</v>
      </c>
      <c r="C62" s="384">
        <v>1</v>
      </c>
      <c r="D62" s="384">
        <v>0</v>
      </c>
      <c r="E62" s="386">
        <v>0</v>
      </c>
      <c r="F62" s="386">
        <v>0</v>
      </c>
      <c r="G62" s="386">
        <v>0</v>
      </c>
      <c r="H62" s="386">
        <v>0</v>
      </c>
      <c r="I62" s="386"/>
      <c r="J62" s="384"/>
      <c r="K62" s="437" t="s">
        <v>280</v>
      </c>
      <c r="L62" s="437"/>
      <c r="M62" s="4">
        <v>0</v>
      </c>
      <c r="N62" s="4" t="s">
        <v>349</v>
      </c>
      <c r="O62" s="4">
        <v>0</v>
      </c>
      <c r="P62" s="4">
        <v>0</v>
      </c>
      <c r="Q62" s="4">
        <v>0</v>
      </c>
      <c r="R62" s="4">
        <v>0</v>
      </c>
      <c r="S62" s="15" t="s">
        <v>41</v>
      </c>
      <c r="T62" s="441" t="s">
        <v>280</v>
      </c>
      <c r="U62" s="441"/>
      <c r="V62" s="441"/>
      <c r="W62" s="441"/>
      <c r="X62" s="4"/>
      <c r="Y62" s="4">
        <v>0</v>
      </c>
      <c r="Z62" s="4">
        <v>0</v>
      </c>
      <c r="AA62" s="4">
        <v>1</v>
      </c>
      <c r="AB62" s="4">
        <f t="shared" si="2"/>
        <v>1</v>
      </c>
      <c r="AC62" s="4"/>
      <c r="AD62" s="440" t="s">
        <v>285</v>
      </c>
      <c r="AE62" s="440"/>
      <c r="AF62" s="4"/>
    </row>
    <row r="63" spans="1:32" ht="16" x14ac:dyDescent="0.2">
      <c r="A63" s="389" t="s">
        <v>228</v>
      </c>
      <c r="B63" s="28" t="s">
        <v>229</v>
      </c>
      <c r="C63" s="384">
        <v>1</v>
      </c>
      <c r="D63" s="384">
        <v>0</v>
      </c>
      <c r="E63" s="386">
        <v>0</v>
      </c>
      <c r="F63" s="386">
        <v>0</v>
      </c>
      <c r="G63" s="386">
        <v>0</v>
      </c>
      <c r="H63" s="386">
        <v>0</v>
      </c>
      <c r="I63" s="386"/>
      <c r="J63" s="384"/>
      <c r="K63" s="437" t="s">
        <v>280</v>
      </c>
      <c r="L63" s="437"/>
      <c r="M63" s="4">
        <v>2</v>
      </c>
      <c r="N63" s="4" t="s">
        <v>349</v>
      </c>
      <c r="O63" s="4">
        <v>14</v>
      </c>
      <c r="P63" s="4">
        <v>9</v>
      </c>
      <c r="Q63" s="4">
        <v>4</v>
      </c>
      <c r="R63" s="4">
        <v>27</v>
      </c>
      <c r="S63" s="4" t="s">
        <v>41</v>
      </c>
      <c r="T63" s="441" t="s">
        <v>280</v>
      </c>
      <c r="U63" s="441"/>
      <c r="V63" s="441"/>
      <c r="W63" s="441"/>
      <c r="X63" s="4"/>
      <c r="Y63" s="4">
        <v>11</v>
      </c>
      <c r="Z63" s="4">
        <v>16</v>
      </c>
      <c r="AA63" s="4">
        <v>1</v>
      </c>
      <c r="AB63" s="4">
        <f t="shared" si="2"/>
        <v>28</v>
      </c>
      <c r="AC63" s="4"/>
      <c r="AD63" s="440" t="s">
        <v>285</v>
      </c>
      <c r="AE63" s="440"/>
      <c r="AF63" s="4"/>
    </row>
    <row r="64" spans="1:32" ht="16" x14ac:dyDescent="0.2">
      <c r="A64" s="389" t="s">
        <v>230</v>
      </c>
      <c r="B64" s="28" t="s">
        <v>231</v>
      </c>
      <c r="C64" s="384">
        <v>1</v>
      </c>
      <c r="D64" s="384">
        <v>1</v>
      </c>
      <c r="E64" s="386">
        <v>0</v>
      </c>
      <c r="F64" s="386">
        <v>0</v>
      </c>
      <c r="G64" s="386">
        <v>0</v>
      </c>
      <c r="H64" s="386">
        <v>0</v>
      </c>
      <c r="I64" s="386"/>
      <c r="J64" s="384"/>
      <c r="K64" s="437" t="s">
        <v>280</v>
      </c>
      <c r="L64" s="437"/>
      <c r="M64" s="243">
        <v>9</v>
      </c>
      <c r="N64" s="243" t="s">
        <v>355</v>
      </c>
      <c r="O64" s="15">
        <v>4</v>
      </c>
      <c r="P64" s="15">
        <v>0</v>
      </c>
      <c r="Q64" s="15">
        <v>2</v>
      </c>
      <c r="R64" s="15">
        <v>6</v>
      </c>
      <c r="S64" s="15" t="s">
        <v>41</v>
      </c>
      <c r="T64" s="441" t="s">
        <v>280</v>
      </c>
      <c r="U64" s="441"/>
      <c r="V64" s="441"/>
      <c r="W64" s="441"/>
      <c r="X64" s="4"/>
      <c r="Y64" s="4">
        <v>8</v>
      </c>
      <c r="Z64" s="4">
        <v>6</v>
      </c>
      <c r="AA64" s="4">
        <v>0</v>
      </c>
      <c r="AB64" s="4">
        <f t="shared" si="2"/>
        <v>14</v>
      </c>
      <c r="AC64" s="4"/>
      <c r="AD64" s="440" t="s">
        <v>285</v>
      </c>
      <c r="AE64" s="440"/>
      <c r="AF64" s="4"/>
    </row>
    <row r="65" spans="1:32" ht="16" x14ac:dyDescent="0.2">
      <c r="A65" s="389" t="s">
        <v>232</v>
      </c>
      <c r="B65" s="28" t="s">
        <v>233</v>
      </c>
      <c r="C65" s="384">
        <v>1</v>
      </c>
      <c r="D65" s="384">
        <v>0</v>
      </c>
      <c r="E65" s="386">
        <v>0</v>
      </c>
      <c r="F65" s="386">
        <v>0</v>
      </c>
      <c r="G65" s="386">
        <v>0</v>
      </c>
      <c r="H65" s="386">
        <v>0</v>
      </c>
      <c r="I65" s="386"/>
      <c r="J65" s="384"/>
      <c r="K65" s="437" t="s">
        <v>280</v>
      </c>
      <c r="L65" s="437"/>
      <c r="M65" s="15">
        <v>2</v>
      </c>
      <c r="N65" s="4" t="s">
        <v>349</v>
      </c>
      <c r="O65" s="4">
        <v>7</v>
      </c>
      <c r="P65" s="4">
        <v>0</v>
      </c>
      <c r="Q65" s="4">
        <v>0</v>
      </c>
      <c r="R65" s="4">
        <v>7</v>
      </c>
      <c r="S65" s="4" t="s">
        <v>41</v>
      </c>
      <c r="T65" s="441" t="s">
        <v>280</v>
      </c>
      <c r="U65" s="441"/>
      <c r="V65" s="441"/>
      <c r="W65" s="441"/>
      <c r="X65" s="4"/>
      <c r="Y65" s="4">
        <v>1</v>
      </c>
      <c r="Z65" s="4">
        <v>1</v>
      </c>
      <c r="AA65" s="4">
        <v>0</v>
      </c>
      <c r="AB65" s="4">
        <f t="shared" si="2"/>
        <v>2</v>
      </c>
      <c r="AC65" s="4"/>
      <c r="AD65" s="440" t="s">
        <v>285</v>
      </c>
      <c r="AE65" s="440"/>
      <c r="AF65" s="4"/>
    </row>
    <row r="66" spans="1:32" ht="16" x14ac:dyDescent="0.2">
      <c r="C66" s="29"/>
      <c r="D66" s="29"/>
      <c r="E66" s="386"/>
      <c r="F66" s="29"/>
      <c r="G66" s="29"/>
      <c r="H66" s="29"/>
      <c r="I66" s="29"/>
      <c r="J66" s="29"/>
      <c r="K66" s="437" t="s">
        <v>280</v>
      </c>
      <c r="L66" s="437"/>
      <c r="M66" s="31"/>
      <c r="N66" s="32"/>
      <c r="O66" s="15"/>
      <c r="P66" s="15"/>
      <c r="Q66" s="15"/>
      <c r="R66" s="15"/>
      <c r="S66" s="15"/>
      <c r="T66" s="441" t="s">
        <v>280</v>
      </c>
      <c r="U66" s="441"/>
      <c r="V66" s="441"/>
      <c r="W66" s="441"/>
      <c r="X66" s="4"/>
      <c r="Y66" s="4"/>
      <c r="Z66" s="4"/>
      <c r="AA66" s="4"/>
      <c r="AB66" s="4"/>
      <c r="AC66" s="4"/>
      <c r="AD66" s="440" t="s">
        <v>285</v>
      </c>
      <c r="AE66" s="440"/>
      <c r="AF66" s="4"/>
    </row>
    <row r="67" spans="1:32" ht="16" x14ac:dyDescent="0.2">
      <c r="C67" s="29"/>
      <c r="E67" s="386"/>
      <c r="K67" s="437" t="s">
        <v>280</v>
      </c>
      <c r="L67" s="437"/>
      <c r="M67" s="48"/>
      <c r="N67" s="278"/>
      <c r="O67" s="15"/>
      <c r="P67" s="15"/>
      <c r="Q67" s="15"/>
      <c r="R67" s="38"/>
      <c r="S67" s="38"/>
      <c r="T67" s="441" t="s">
        <v>280</v>
      </c>
      <c r="U67" s="441"/>
      <c r="V67" s="441"/>
      <c r="W67" s="441"/>
      <c r="X67" s="4"/>
      <c r="Y67" s="39"/>
      <c r="Z67" s="4"/>
      <c r="AA67" s="4"/>
      <c r="AB67" s="4"/>
      <c r="AC67" s="4"/>
      <c r="AD67" s="440" t="s">
        <v>285</v>
      </c>
      <c r="AE67" s="440"/>
      <c r="AF67" s="4"/>
    </row>
    <row r="68" spans="1:32" ht="16" x14ac:dyDescent="0.2">
      <c r="C68" s="29"/>
      <c r="K68" s="437" t="s">
        <v>280</v>
      </c>
      <c r="L68" s="437"/>
      <c r="M68" s="31"/>
      <c r="N68" s="44"/>
      <c r="O68" s="15"/>
      <c r="P68" s="15"/>
      <c r="Q68" s="15"/>
      <c r="R68" s="15"/>
      <c r="S68" s="15"/>
      <c r="T68" s="441" t="s">
        <v>280</v>
      </c>
      <c r="U68" s="441"/>
      <c r="V68" s="441"/>
      <c r="W68" s="441"/>
      <c r="X68" s="4"/>
      <c r="Y68" s="4"/>
      <c r="Z68" s="4"/>
      <c r="AA68" s="4"/>
      <c r="AB68" s="4"/>
      <c r="AC68" s="4"/>
      <c r="AD68" s="440" t="s">
        <v>285</v>
      </c>
      <c r="AE68" s="440"/>
      <c r="AF68" s="4"/>
    </row>
    <row r="69" spans="1:32" ht="16" x14ac:dyDescent="0.2">
      <c r="K69" s="437" t="s">
        <v>280</v>
      </c>
      <c r="L69" s="437"/>
      <c r="M69" s="48"/>
      <c r="N69" s="278"/>
      <c r="O69" s="15"/>
      <c r="P69" s="15"/>
      <c r="Q69" s="15"/>
      <c r="R69" s="317"/>
      <c r="S69" s="38"/>
      <c r="T69" s="441" t="s">
        <v>280</v>
      </c>
      <c r="U69" s="441"/>
      <c r="V69" s="441"/>
      <c r="W69" s="441"/>
      <c r="X69" s="4"/>
      <c r="Y69" s="39"/>
      <c r="Z69" s="4"/>
      <c r="AA69" s="4"/>
      <c r="AB69" s="4"/>
      <c r="AC69" s="4"/>
      <c r="AD69" s="440" t="s">
        <v>285</v>
      </c>
      <c r="AE69" s="440"/>
      <c r="AF69" s="4"/>
    </row>
    <row r="70" spans="1:32" ht="16" x14ac:dyDescent="0.2">
      <c r="C70" s="29"/>
      <c r="D70" s="29"/>
      <c r="E70" s="29"/>
      <c r="F70" s="29"/>
      <c r="G70" s="29"/>
      <c r="H70" s="29"/>
      <c r="I70" s="29"/>
      <c r="J70" s="29"/>
      <c r="K70" s="437" t="s">
        <v>280</v>
      </c>
      <c r="L70" s="437"/>
      <c r="M70" s="49"/>
      <c r="N70" s="159"/>
      <c r="O70" s="4"/>
      <c r="P70" s="4"/>
      <c r="Q70" s="4"/>
      <c r="R70" s="4"/>
      <c r="S70" s="15"/>
      <c r="T70" s="441" t="s">
        <v>280</v>
      </c>
      <c r="U70" s="441"/>
      <c r="V70" s="441"/>
      <c r="W70" s="441"/>
      <c r="Y70" s="39"/>
      <c r="Z70" s="4"/>
      <c r="AA70" s="4"/>
      <c r="AD70" s="440" t="s">
        <v>285</v>
      </c>
      <c r="AE70" s="440"/>
      <c r="AF70" s="4"/>
    </row>
    <row r="71" spans="1:32" ht="16" x14ac:dyDescent="0.2">
      <c r="C71" s="29"/>
      <c r="D71" s="29"/>
      <c r="E71" s="29"/>
      <c r="F71" s="29"/>
      <c r="G71" s="29"/>
      <c r="H71" s="29"/>
      <c r="I71" s="29"/>
      <c r="J71" s="29"/>
      <c r="K71" s="437" t="s">
        <v>280</v>
      </c>
      <c r="L71" s="437"/>
      <c r="M71" s="49"/>
      <c r="N71" s="159"/>
      <c r="O71" s="4"/>
      <c r="P71" s="4"/>
      <c r="Q71" s="4"/>
      <c r="R71" s="318"/>
      <c r="S71" s="39"/>
      <c r="T71" s="441" t="s">
        <v>280</v>
      </c>
      <c r="U71" s="441"/>
      <c r="V71" s="441"/>
      <c r="W71" s="441"/>
      <c r="Y71" s="39"/>
      <c r="Z71" s="4"/>
      <c r="AA71" s="4"/>
      <c r="AD71" s="440" t="s">
        <v>285</v>
      </c>
      <c r="AE71" s="440"/>
      <c r="AF71" s="316"/>
    </row>
    <row r="72" spans="1:32" ht="16" x14ac:dyDescent="0.2">
      <c r="C72" s="29"/>
      <c r="D72" s="29"/>
      <c r="E72" s="29"/>
      <c r="F72" s="29"/>
      <c r="G72" s="29"/>
      <c r="H72" s="29"/>
      <c r="I72" s="29"/>
      <c r="J72" s="29"/>
      <c r="K72" s="437" t="s">
        <v>280</v>
      </c>
      <c r="L72" s="437"/>
      <c r="M72" s="31"/>
      <c r="N72" s="32"/>
      <c r="O72" s="15"/>
      <c r="P72" s="15"/>
      <c r="Q72" s="15"/>
      <c r="R72" s="38"/>
      <c r="S72" s="38"/>
      <c r="T72" s="441" t="s">
        <v>280</v>
      </c>
      <c r="U72" s="441"/>
      <c r="V72" s="441"/>
      <c r="W72" s="441"/>
      <c r="X72" s="4"/>
      <c r="Y72" s="38"/>
      <c r="Z72" s="15"/>
      <c r="AA72" s="38"/>
      <c r="AB72" s="4"/>
      <c r="AC72" s="4"/>
      <c r="AD72" s="440" t="s">
        <v>285</v>
      </c>
      <c r="AE72" s="440"/>
      <c r="AF72" s="316"/>
    </row>
    <row r="73" spans="1:32" s="378" customFormat="1" ht="15" x14ac:dyDescent="0.2">
      <c r="K73" s="445" t="s">
        <v>285</v>
      </c>
      <c r="L73" s="446"/>
      <c r="M73" s="379">
        <f>AVERAGE(M45:M72)</f>
        <v>3.1904761904761907</v>
      </c>
      <c r="N73" s="380" t="s">
        <v>285</v>
      </c>
      <c r="O73" s="380">
        <f>AVERAGE(O45:O72)</f>
        <v>8.6666666666666661</v>
      </c>
      <c r="P73" s="380">
        <f t="shared" ref="P73:Q73" si="3">AVERAGE(P45:P72)</f>
        <v>2.2857142857142856</v>
      </c>
      <c r="Q73" s="380">
        <f t="shared" si="3"/>
        <v>3.8095238095238093</v>
      </c>
      <c r="R73" s="380">
        <f>AVERAGE(R45:R72)</f>
        <v>14.761904761904763</v>
      </c>
      <c r="S73" s="380" t="s">
        <v>285</v>
      </c>
      <c r="T73" s="445" t="s">
        <v>285</v>
      </c>
      <c r="U73" s="447"/>
      <c r="V73" s="447"/>
      <c r="W73" s="446"/>
      <c r="X73" s="380"/>
      <c r="Y73" s="380">
        <f>AVERAGE(Y45:Y72)</f>
        <v>6.1428571428571432</v>
      </c>
      <c r="Z73" s="380">
        <f t="shared" ref="Z73:AA73" si="4">AVERAGE(Z45:Z72)</f>
        <v>4.4761904761904763</v>
      </c>
      <c r="AA73" s="380">
        <f t="shared" si="4"/>
        <v>1.2857142857142858</v>
      </c>
      <c r="AB73" s="380"/>
      <c r="AC73" s="380"/>
      <c r="AD73" s="445" t="s">
        <v>285</v>
      </c>
      <c r="AE73" s="446"/>
      <c r="AF73" s="377"/>
    </row>
    <row r="74" spans="1:32" s="3" customFormat="1" ht="16" x14ac:dyDescent="0.2">
      <c r="A74" s="2" t="s">
        <v>468</v>
      </c>
      <c r="B74" s="2"/>
      <c r="C74" s="42"/>
      <c r="D74" s="42"/>
      <c r="E74" s="42"/>
      <c r="F74" s="42"/>
      <c r="G74" s="42"/>
      <c r="H74" s="42"/>
      <c r="I74" s="42"/>
      <c r="J74" s="42"/>
      <c r="K74" s="332" t="s">
        <v>122</v>
      </c>
      <c r="L74" s="2"/>
      <c r="M74" s="332" t="s">
        <v>125</v>
      </c>
      <c r="N74" s="2"/>
      <c r="O74" s="438" t="s">
        <v>126</v>
      </c>
      <c r="P74" s="438"/>
      <c r="Q74" s="438"/>
      <c r="R74" s="438"/>
      <c r="S74" s="2"/>
      <c r="T74" s="438" t="s">
        <v>319</v>
      </c>
      <c r="U74" s="438"/>
      <c r="V74" s="438"/>
      <c r="W74" s="438"/>
      <c r="Y74" s="41" t="s">
        <v>320</v>
      </c>
      <c r="AA74" s="43"/>
    </row>
    <row r="75" spans="1:32" s="27" customFormat="1" ht="16" x14ac:dyDescent="0.2">
      <c r="A75" s="2"/>
      <c r="B75" s="2" t="s">
        <v>318</v>
      </c>
      <c r="C75" s="24" t="s">
        <v>310</v>
      </c>
      <c r="D75" s="24" t="s">
        <v>125</v>
      </c>
      <c r="E75" s="24" t="s">
        <v>536</v>
      </c>
      <c r="F75" s="24" t="s">
        <v>537</v>
      </c>
      <c r="G75" s="24" t="s">
        <v>538</v>
      </c>
      <c r="H75" s="24" t="s">
        <v>539</v>
      </c>
      <c r="I75" s="24"/>
      <c r="J75" s="24" t="s">
        <v>540</v>
      </c>
      <c r="K75" s="23" t="s">
        <v>323</v>
      </c>
      <c r="L75" s="24" t="s">
        <v>324</v>
      </c>
      <c r="M75" s="23" t="s">
        <v>323</v>
      </c>
      <c r="N75" s="23" t="s">
        <v>324</v>
      </c>
      <c r="O75" s="23" t="s">
        <v>325</v>
      </c>
      <c r="P75" s="23" t="s">
        <v>326</v>
      </c>
      <c r="Q75" s="23" t="s">
        <v>327</v>
      </c>
      <c r="R75" s="23" t="s">
        <v>323</v>
      </c>
      <c r="S75" s="25" t="s">
        <v>328</v>
      </c>
      <c r="T75" s="23" t="s">
        <v>329</v>
      </c>
      <c r="U75" s="23" t="s">
        <v>330</v>
      </c>
      <c r="V75" s="23" t="s">
        <v>331</v>
      </c>
      <c r="W75" s="26" t="s">
        <v>323</v>
      </c>
      <c r="Y75" s="27" t="s">
        <v>332</v>
      </c>
      <c r="Z75" s="27" t="s">
        <v>333</v>
      </c>
      <c r="AA75" s="27" t="s">
        <v>334</v>
      </c>
      <c r="AB75" s="27" t="s">
        <v>335</v>
      </c>
      <c r="AD75" s="27" t="s">
        <v>124</v>
      </c>
      <c r="AE75" s="27" t="s">
        <v>328</v>
      </c>
    </row>
    <row r="77" spans="1:32" ht="16" x14ac:dyDescent="0.2">
      <c r="K77" s="15"/>
      <c r="L77" s="15"/>
      <c r="M77" s="15"/>
      <c r="N77" s="15"/>
      <c r="O77" s="15"/>
      <c r="P77" s="15"/>
      <c r="Q77" s="15"/>
      <c r="R77" s="15"/>
      <c r="S77" s="15"/>
      <c r="T77" s="15"/>
      <c r="U77" s="15"/>
      <c r="V77" s="4"/>
      <c r="W77" s="4"/>
      <c r="X77" s="4"/>
      <c r="Y77" s="4"/>
      <c r="Z77" s="4"/>
      <c r="AA77" s="4"/>
      <c r="AB77" s="4"/>
      <c r="AC77" s="4"/>
      <c r="AD77" s="4"/>
      <c r="AE77" s="4"/>
    </row>
    <row r="78" spans="1:32" ht="16" x14ac:dyDescent="0.2">
      <c r="K78" s="15"/>
      <c r="L78" s="15"/>
      <c r="M78" s="15"/>
      <c r="N78" s="15"/>
      <c r="O78" s="15"/>
      <c r="P78" s="15"/>
      <c r="Q78" s="15"/>
      <c r="R78" s="15"/>
      <c r="S78" s="15"/>
      <c r="T78" s="15"/>
      <c r="U78" s="15"/>
      <c r="V78" s="4"/>
      <c r="W78" s="4"/>
      <c r="X78" s="4"/>
      <c r="Y78" s="4"/>
      <c r="Z78" s="4"/>
      <c r="AA78" s="4"/>
      <c r="AB78" s="4"/>
      <c r="AC78" s="4"/>
      <c r="AD78" s="4"/>
      <c r="AE78" s="4"/>
    </row>
    <row r="79" spans="1:32" ht="16" x14ac:dyDescent="0.2">
      <c r="K79" s="15"/>
      <c r="L79" s="15"/>
      <c r="M79" s="15"/>
      <c r="N79" s="15"/>
      <c r="O79" s="15"/>
      <c r="P79" s="15"/>
      <c r="Q79" s="15"/>
      <c r="R79" s="15"/>
      <c r="S79" s="15"/>
      <c r="T79" s="15"/>
      <c r="U79" s="15"/>
      <c r="V79" s="4"/>
      <c r="W79" s="4"/>
      <c r="X79" s="4"/>
      <c r="Y79" s="4"/>
      <c r="Z79" s="4"/>
      <c r="AA79" s="4"/>
      <c r="AB79" s="4"/>
      <c r="AC79" s="4"/>
      <c r="AD79" s="4"/>
      <c r="AE79" s="4"/>
    </row>
    <row r="80" spans="1:32" ht="16" x14ac:dyDescent="0.2">
      <c r="K80" s="15"/>
      <c r="L80" s="15"/>
      <c r="M80" s="15"/>
      <c r="N80" s="15"/>
      <c r="O80" s="15"/>
      <c r="P80" s="15"/>
      <c r="Q80" s="15"/>
      <c r="R80" s="15"/>
      <c r="S80" s="15"/>
      <c r="T80" s="15"/>
      <c r="U80" s="15"/>
      <c r="V80" s="4"/>
      <c r="W80" s="4"/>
      <c r="X80" s="4"/>
      <c r="Y80" s="4"/>
      <c r="Z80" s="4"/>
      <c r="AA80" s="4"/>
      <c r="AB80" s="4"/>
      <c r="AC80" s="4"/>
      <c r="AD80" s="4"/>
      <c r="AE80" s="4"/>
    </row>
    <row r="81" spans="1:27" s="3" customFormat="1" ht="16" x14ac:dyDescent="0.2">
      <c r="A81" s="2" t="s">
        <v>469</v>
      </c>
      <c r="B81" s="2"/>
      <c r="C81" s="42"/>
      <c r="D81" s="42"/>
      <c r="E81" s="42"/>
      <c r="F81" s="42"/>
      <c r="G81" s="42"/>
      <c r="H81" s="42"/>
      <c r="I81" s="42"/>
      <c r="J81" s="42"/>
      <c r="K81" s="332" t="s">
        <v>122</v>
      </c>
      <c r="L81" s="2"/>
      <c r="M81" s="332" t="s">
        <v>125</v>
      </c>
      <c r="N81" s="2"/>
      <c r="O81" s="438" t="s">
        <v>126</v>
      </c>
      <c r="P81" s="438"/>
      <c r="Q81" s="438"/>
      <c r="R81" s="438"/>
      <c r="S81" s="2"/>
      <c r="T81" s="438" t="s">
        <v>319</v>
      </c>
      <c r="U81" s="438"/>
      <c r="V81" s="438"/>
      <c r="W81" s="438"/>
      <c r="Y81" s="41" t="s">
        <v>320</v>
      </c>
      <c r="AA81" s="43"/>
    </row>
    <row r="91" spans="1:27" ht="15.75" customHeight="1" x14ac:dyDescent="0.2">
      <c r="K91" s="314" t="s">
        <v>470</v>
      </c>
      <c r="L91" s="314" t="s">
        <v>471</v>
      </c>
      <c r="N91" s="1" t="s">
        <v>125</v>
      </c>
      <c r="P91" s="1" t="s">
        <v>126</v>
      </c>
      <c r="Q91" s="1"/>
      <c r="R91" s="157" t="s">
        <v>472</v>
      </c>
      <c r="S91" s="1"/>
      <c r="T91" s="157" t="s">
        <v>473</v>
      </c>
      <c r="V91" s="1" t="s">
        <v>474</v>
      </c>
      <c r="W91" s="1" t="s">
        <v>475</v>
      </c>
    </row>
    <row r="92" spans="1:27" ht="15.75" customHeight="1" x14ac:dyDescent="0.2">
      <c r="K92" s="14" t="s">
        <v>476</v>
      </c>
      <c r="L92" s="14" t="s">
        <v>477</v>
      </c>
      <c r="N92" t="s">
        <v>478</v>
      </c>
      <c r="O92" t="s">
        <v>479</v>
      </c>
      <c r="P92" s="44" t="s">
        <v>480</v>
      </c>
      <c r="Q92" t="s">
        <v>481</v>
      </c>
      <c r="R92" s="155" t="s">
        <v>482</v>
      </c>
      <c r="S92" s="155" t="s">
        <v>483</v>
      </c>
      <c r="T92" s="44" t="s">
        <v>484</v>
      </c>
      <c r="U92" t="s">
        <v>485</v>
      </c>
      <c r="V92" t="s">
        <v>486</v>
      </c>
      <c r="W92" s="160" t="s">
        <v>487</v>
      </c>
    </row>
    <row r="93" spans="1:27" ht="15.75" customHeight="1" x14ac:dyDescent="0.2">
      <c r="K93" s="315" t="s">
        <v>488</v>
      </c>
      <c r="L93" s="315" t="s">
        <v>489</v>
      </c>
      <c r="N93" t="s">
        <v>490</v>
      </c>
      <c r="O93" s="155" t="s">
        <v>491</v>
      </c>
      <c r="P93" s="30" t="s">
        <v>492</v>
      </c>
      <c r="Q93" s="30" t="s">
        <v>493</v>
      </c>
      <c r="R93" s="44" t="s">
        <v>494</v>
      </c>
      <c r="S93" s="155" t="s">
        <v>495</v>
      </c>
      <c r="T93" s="162" t="s">
        <v>496</v>
      </c>
      <c r="U93" s="22" t="s">
        <v>497</v>
      </c>
      <c r="W93" t="s">
        <v>498</v>
      </c>
    </row>
    <row r="94" spans="1:27" ht="15.75" customHeight="1" x14ac:dyDescent="0.2">
      <c r="K94" s="315" t="s">
        <v>499</v>
      </c>
      <c r="L94" s="315" t="s">
        <v>500</v>
      </c>
      <c r="N94" s="30" t="s">
        <v>501</v>
      </c>
      <c r="O94" s="30" t="s">
        <v>502</v>
      </c>
      <c r="R94" s="30" t="s">
        <v>499</v>
      </c>
      <c r="S94" s="30" t="s">
        <v>503</v>
      </c>
      <c r="T94" s="159" t="s">
        <v>504</v>
      </c>
      <c r="U94" s="30" t="s">
        <v>505</v>
      </c>
      <c r="V94" s="30" t="s">
        <v>506</v>
      </c>
      <c r="W94" s="30" t="s">
        <v>507</v>
      </c>
    </row>
    <row r="95" spans="1:27" ht="15.75" customHeight="1" x14ac:dyDescent="0.2">
      <c r="K95" s="315" t="s">
        <v>508</v>
      </c>
      <c r="L95" s="315" t="s">
        <v>509</v>
      </c>
      <c r="N95" s="30" t="s">
        <v>510</v>
      </c>
      <c r="O95" s="30" t="s">
        <v>511</v>
      </c>
      <c r="R95" s="30" t="s">
        <v>508</v>
      </c>
      <c r="S95" s="30" t="s">
        <v>512</v>
      </c>
      <c r="T95" s="159" t="s">
        <v>513</v>
      </c>
      <c r="U95" s="30" t="s">
        <v>514</v>
      </c>
      <c r="V95" s="30" t="s">
        <v>515</v>
      </c>
      <c r="W95" s="30" t="s">
        <v>516</v>
      </c>
    </row>
    <row r="96" spans="1:27" ht="15.75" customHeight="1" x14ac:dyDescent="0.2">
      <c r="N96" s="30" t="s">
        <v>517</v>
      </c>
      <c r="O96" s="30" t="s">
        <v>518</v>
      </c>
      <c r="R96" s="30" t="s">
        <v>519</v>
      </c>
      <c r="S96" s="30" t="s">
        <v>520</v>
      </c>
      <c r="T96" s="159" t="s">
        <v>521</v>
      </c>
      <c r="U96" s="30" t="s">
        <v>522</v>
      </c>
      <c r="V96" s="30" t="s">
        <v>523</v>
      </c>
      <c r="W96" s="30" t="s">
        <v>524</v>
      </c>
    </row>
    <row r="97" spans="14:23" ht="15.75" customHeight="1" x14ac:dyDescent="0.2">
      <c r="N97" t="s">
        <v>525</v>
      </c>
      <c r="V97" s="30" t="s">
        <v>526</v>
      </c>
      <c r="W97" s="30" t="s">
        <v>527</v>
      </c>
    </row>
    <row r="98" spans="14:23" ht="15.75" customHeight="1" x14ac:dyDescent="0.2">
      <c r="V98" s="30" t="s">
        <v>528</v>
      </c>
      <c r="W98" s="30" t="s">
        <v>529</v>
      </c>
    </row>
    <row r="99" spans="14:23" ht="15.75" customHeight="1" x14ac:dyDescent="0.2">
      <c r="V99" s="30" t="s">
        <v>530</v>
      </c>
      <c r="W99" s="30" t="s">
        <v>531</v>
      </c>
    </row>
    <row r="100" spans="14:23" ht="15.75" customHeight="1" x14ac:dyDescent="0.2">
      <c r="V100" s="30" t="s">
        <v>532</v>
      </c>
      <c r="W100" s="30" t="s">
        <v>533</v>
      </c>
    </row>
    <row r="101" spans="14:23" ht="15.75" customHeight="1" x14ac:dyDescent="0.2">
      <c r="V101" s="161" t="s">
        <v>534</v>
      </c>
    </row>
  </sheetData>
  <mergeCells count="142">
    <mergeCell ref="AD2:AE2"/>
    <mergeCell ref="K30:L30"/>
    <mergeCell ref="T30:W30"/>
    <mergeCell ref="AD30:AE30"/>
    <mergeCell ref="K9:L9"/>
    <mergeCell ref="T9:W9"/>
    <mergeCell ref="K10:L10"/>
    <mergeCell ref="AD65:AE65"/>
    <mergeCell ref="K48:L48"/>
    <mergeCell ref="K49:L49"/>
    <mergeCell ref="K50:L50"/>
    <mergeCell ref="K51:L51"/>
    <mergeCell ref="T18:W18"/>
    <mergeCell ref="T10:W10"/>
    <mergeCell ref="K11:L11"/>
    <mergeCell ref="T11:W11"/>
    <mergeCell ref="K12:L12"/>
    <mergeCell ref="T12:W12"/>
    <mergeCell ref="K15:L15"/>
    <mergeCell ref="T15:W15"/>
    <mergeCell ref="K27:L27"/>
    <mergeCell ref="T27:W27"/>
    <mergeCell ref="K33:L33"/>
    <mergeCell ref="T33:W33"/>
    <mergeCell ref="C43:J43"/>
    <mergeCell ref="O43:R43"/>
    <mergeCell ref="T43:W43"/>
    <mergeCell ref="AD43:AE43"/>
    <mergeCell ref="K45:L45"/>
    <mergeCell ref="T45:W45"/>
    <mergeCell ref="AD45:AE45"/>
    <mergeCell ref="AD68:AE68"/>
    <mergeCell ref="K69:L69"/>
    <mergeCell ref="T69:W69"/>
    <mergeCell ref="AD69:AE69"/>
    <mergeCell ref="K66:L66"/>
    <mergeCell ref="T66:W66"/>
    <mergeCell ref="AD66:AE66"/>
    <mergeCell ref="K67:L67"/>
    <mergeCell ref="T67:W67"/>
    <mergeCell ref="AD67:AE67"/>
    <mergeCell ref="K64:L64"/>
    <mergeCell ref="K58:L58"/>
    <mergeCell ref="K59:L59"/>
    <mergeCell ref="K60:L60"/>
    <mergeCell ref="K61:L61"/>
    <mergeCell ref="K62:L62"/>
    <mergeCell ref="K63:L63"/>
    <mergeCell ref="AD72:AE72"/>
    <mergeCell ref="K73:L73"/>
    <mergeCell ref="T73:W73"/>
    <mergeCell ref="AD73:AE73"/>
    <mergeCell ref="K70:L70"/>
    <mergeCell ref="T70:W70"/>
    <mergeCell ref="AD70:AE70"/>
    <mergeCell ref="K71:L71"/>
    <mergeCell ref="T71:W71"/>
    <mergeCell ref="AD71:AE71"/>
    <mergeCell ref="O74:R74"/>
    <mergeCell ref="T74:W74"/>
    <mergeCell ref="O81:R81"/>
    <mergeCell ref="T81:W81"/>
    <mergeCell ref="C2:H2"/>
    <mergeCell ref="K5:L5"/>
    <mergeCell ref="T5:W5"/>
    <mergeCell ref="K8:L8"/>
    <mergeCell ref="T8:W8"/>
    <mergeCell ref="K72:L72"/>
    <mergeCell ref="T72:W72"/>
    <mergeCell ref="K68:L68"/>
    <mergeCell ref="T68:W68"/>
    <mergeCell ref="K46:L46"/>
    <mergeCell ref="T46:W46"/>
    <mergeCell ref="K65:L65"/>
    <mergeCell ref="T65:W65"/>
    <mergeCell ref="O2:R2"/>
    <mergeCell ref="T2:W2"/>
    <mergeCell ref="K16:L16"/>
    <mergeCell ref="T16:W16"/>
    <mergeCell ref="K17:L17"/>
    <mergeCell ref="T17:W17"/>
    <mergeCell ref="K18:L18"/>
    <mergeCell ref="K19:L19"/>
    <mergeCell ref="T19:W19"/>
    <mergeCell ref="K20:L20"/>
    <mergeCell ref="T20:W20"/>
    <mergeCell ref="K21:L21"/>
    <mergeCell ref="T21:W21"/>
    <mergeCell ref="AD46:AE46"/>
    <mergeCell ref="AD47:AE47"/>
    <mergeCell ref="T47:W47"/>
    <mergeCell ref="K36:L36"/>
    <mergeCell ref="T36:W36"/>
    <mergeCell ref="AD36:AE36"/>
    <mergeCell ref="AD37:AE37"/>
    <mergeCell ref="AD38:AE38"/>
    <mergeCell ref="AD35:AE35"/>
    <mergeCell ref="AD39:AE39"/>
    <mergeCell ref="K55:L55"/>
    <mergeCell ref="K56:L56"/>
    <mergeCell ref="K57:L57"/>
    <mergeCell ref="T62:W62"/>
    <mergeCell ref="T63:W63"/>
    <mergeCell ref="T64:W64"/>
    <mergeCell ref="T60:W60"/>
    <mergeCell ref="T61:W61"/>
    <mergeCell ref="AD32:AE32"/>
    <mergeCell ref="K47:L47"/>
    <mergeCell ref="T48:W48"/>
    <mergeCell ref="T49:W49"/>
    <mergeCell ref="T50:W50"/>
    <mergeCell ref="T51:W51"/>
    <mergeCell ref="T52:W52"/>
    <mergeCell ref="T53:W53"/>
    <mergeCell ref="T54:W54"/>
    <mergeCell ref="K52:L52"/>
    <mergeCell ref="K53:L53"/>
    <mergeCell ref="K54:L54"/>
    <mergeCell ref="T35:W35"/>
    <mergeCell ref="K35:L35"/>
    <mergeCell ref="AD64:AE64"/>
    <mergeCell ref="AD58:AE58"/>
    <mergeCell ref="AD60:AE60"/>
    <mergeCell ref="AD61:AE61"/>
    <mergeCell ref="AD62:AE62"/>
    <mergeCell ref="AD63:AE63"/>
    <mergeCell ref="AD52:AE52"/>
    <mergeCell ref="AD53:AE53"/>
    <mergeCell ref="AD54:AE54"/>
    <mergeCell ref="AD55:AE55"/>
    <mergeCell ref="AD56:AE56"/>
    <mergeCell ref="AD57:AE57"/>
    <mergeCell ref="AD48:AE48"/>
    <mergeCell ref="AD49:AE49"/>
    <mergeCell ref="AD50:AE50"/>
    <mergeCell ref="AD51:AE51"/>
    <mergeCell ref="T55:W55"/>
    <mergeCell ref="T56:W56"/>
    <mergeCell ref="T57:W57"/>
    <mergeCell ref="T58:W58"/>
    <mergeCell ref="T59:W59"/>
    <mergeCell ref="AD59:AE59"/>
  </mergeCells>
  <hyperlinks>
    <hyperlink ref="V101" r:id="rId1" location="R6" xr:uid="{9291059A-10D1-44EA-9709-766415661FE8}"/>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E173-19F7-4A18-85B2-4F7BA7FEADC7}">
  <dimension ref="A1:AE53"/>
  <sheetViews>
    <sheetView zoomScale="120" zoomScaleNormal="120" workbookViewId="0">
      <selection activeCell="S57" sqref="S57"/>
    </sheetView>
  </sheetViews>
  <sheetFormatPr baseColWidth="10" defaultColWidth="11.5" defaultRowHeight="15.75" customHeight="1" x14ac:dyDescent="0.2"/>
  <cols>
    <col min="1" max="1" width="11.5" style="28"/>
    <col min="2" max="2" width="11.83203125" style="28" customWidth="1"/>
    <col min="3" max="3" width="7" style="28" customWidth="1"/>
    <col min="4" max="4" width="5.83203125" style="28" customWidth="1"/>
    <col min="5" max="5" width="6.33203125" style="28" customWidth="1"/>
    <col min="6" max="6" width="5.6640625" style="28" customWidth="1"/>
    <col min="7" max="7" width="6.33203125" style="28" customWidth="1"/>
    <col min="8" max="9" width="7.1640625" style="28" customWidth="1"/>
    <col min="10" max="10" width="14" customWidth="1"/>
    <col min="11" max="13" width="9"/>
    <col min="14" max="14" width="16.5" customWidth="1"/>
    <col min="15" max="16" width="14.5" customWidth="1"/>
    <col min="17" max="17" width="13.5" customWidth="1"/>
    <col min="18" max="18" width="9"/>
    <col min="19" max="19" width="12.1640625" customWidth="1"/>
    <col min="20" max="20" width="9" customWidth="1"/>
    <col min="21" max="21" width="8.83203125" customWidth="1"/>
    <col min="22" max="22" width="10.5" customWidth="1"/>
    <col min="23" max="23" width="9"/>
    <col min="24" max="25" width="9.83203125" customWidth="1"/>
    <col min="26" max="26" width="9.33203125" customWidth="1"/>
  </cols>
  <sheetData>
    <row r="1" spans="1:31" ht="16" x14ac:dyDescent="0.2">
      <c r="N1" s="225" t="s">
        <v>535</v>
      </c>
      <c r="O1" s="99" t="s">
        <v>164</v>
      </c>
    </row>
    <row r="2" spans="1:31" s="3" customFormat="1" ht="17.25" customHeight="1" x14ac:dyDescent="0.2">
      <c r="A2" s="2" t="s">
        <v>391</v>
      </c>
      <c r="B2" s="2" t="s">
        <v>318</v>
      </c>
      <c r="C2" s="438" t="s">
        <v>6</v>
      </c>
      <c r="D2" s="438"/>
      <c r="E2" s="438"/>
      <c r="F2" s="438"/>
      <c r="G2" s="438"/>
      <c r="H2" s="438"/>
      <c r="I2" s="332"/>
      <c r="J2" s="332" t="s">
        <v>122</v>
      </c>
      <c r="K2" s="2"/>
      <c r="L2" s="332" t="s">
        <v>125</v>
      </c>
      <c r="M2" s="2"/>
      <c r="N2" s="438" t="s">
        <v>126</v>
      </c>
      <c r="O2" s="438"/>
      <c r="P2" s="438"/>
      <c r="Q2" s="438"/>
      <c r="R2" s="2"/>
      <c r="S2" s="438" t="s">
        <v>319</v>
      </c>
      <c r="T2" s="438"/>
      <c r="U2" s="438"/>
      <c r="V2" s="438"/>
      <c r="X2" s="41" t="s">
        <v>320</v>
      </c>
      <c r="AC2" s="439" t="s">
        <v>124</v>
      </c>
      <c r="AD2" s="439"/>
    </row>
    <row r="3" spans="1:31" s="27" customFormat="1" ht="17.25" customHeight="1" x14ac:dyDescent="0.2">
      <c r="A3" s="23"/>
      <c r="B3" s="23"/>
      <c r="C3" s="371" t="s">
        <v>310</v>
      </c>
      <c r="D3" s="371" t="s">
        <v>125</v>
      </c>
      <c r="E3" s="371" t="s">
        <v>536</v>
      </c>
      <c r="F3" s="371" t="s">
        <v>537</v>
      </c>
      <c r="G3" s="371" t="s">
        <v>538</v>
      </c>
      <c r="H3" s="371" t="s">
        <v>539</v>
      </c>
      <c r="I3" s="371" t="s">
        <v>540</v>
      </c>
      <c r="J3" s="23" t="s">
        <v>323</v>
      </c>
      <c r="K3" s="24" t="s">
        <v>324</v>
      </c>
      <c r="L3" s="23" t="s">
        <v>323</v>
      </c>
      <c r="M3" s="23" t="s">
        <v>324</v>
      </c>
      <c r="N3" s="23" t="s">
        <v>325</v>
      </c>
      <c r="O3" s="23" t="s">
        <v>326</v>
      </c>
      <c r="P3" s="23" t="s">
        <v>327</v>
      </c>
      <c r="Q3" s="23" t="s">
        <v>323</v>
      </c>
      <c r="R3" s="25" t="s">
        <v>328</v>
      </c>
      <c r="S3" s="23" t="s">
        <v>329</v>
      </c>
      <c r="T3" s="23" t="s">
        <v>330</v>
      </c>
      <c r="U3" s="23" t="s">
        <v>331</v>
      </c>
      <c r="V3" s="26" t="s">
        <v>323</v>
      </c>
      <c r="X3" s="27" t="s">
        <v>332</v>
      </c>
      <c r="Y3" s="27" t="s">
        <v>333</v>
      </c>
      <c r="Z3" s="27" t="s">
        <v>334</v>
      </c>
      <c r="AA3" s="27" t="s">
        <v>335</v>
      </c>
      <c r="AC3" s="27" t="s">
        <v>124</v>
      </c>
      <c r="AD3" s="27" t="s">
        <v>328</v>
      </c>
    </row>
    <row r="4" spans="1:31" ht="16" x14ac:dyDescent="0.2">
      <c r="A4" s="28" t="s">
        <v>91</v>
      </c>
      <c r="B4" s="28" t="s">
        <v>542</v>
      </c>
      <c r="C4" s="384">
        <v>0</v>
      </c>
      <c r="D4" s="384">
        <v>0</v>
      </c>
      <c r="E4" s="384">
        <v>1</v>
      </c>
      <c r="F4" s="384">
        <v>1</v>
      </c>
      <c r="G4" s="384">
        <v>1</v>
      </c>
      <c r="H4" s="384">
        <v>1</v>
      </c>
      <c r="I4" s="384">
        <v>0</v>
      </c>
      <c r="J4" s="262">
        <v>40</v>
      </c>
      <c r="K4" s="262" t="s">
        <v>353</v>
      </c>
      <c r="L4" s="4">
        <v>5</v>
      </c>
      <c r="M4" s="4" t="s">
        <v>355</v>
      </c>
      <c r="N4" s="4">
        <v>29</v>
      </c>
      <c r="O4" s="4">
        <v>27</v>
      </c>
      <c r="P4" s="4">
        <v>29</v>
      </c>
      <c r="Q4" s="4">
        <v>85</v>
      </c>
      <c r="R4" s="4" t="s">
        <v>46</v>
      </c>
      <c r="S4" s="409">
        <v>41.33</v>
      </c>
      <c r="T4" s="409">
        <v>52.5</v>
      </c>
      <c r="U4" s="409">
        <v>35</v>
      </c>
      <c r="V4" s="409">
        <v>43.7</v>
      </c>
      <c r="W4" s="4"/>
      <c r="X4" s="409">
        <v>25</v>
      </c>
      <c r="Y4" s="409">
        <v>18</v>
      </c>
      <c r="Z4" s="409">
        <v>8</v>
      </c>
      <c r="AA4" s="4"/>
      <c r="AB4" s="4"/>
      <c r="AC4" s="440" t="s">
        <v>285</v>
      </c>
      <c r="AD4" s="440"/>
    </row>
    <row r="5" spans="1:31" ht="16" x14ac:dyDescent="0.2">
      <c r="C5" s="29"/>
      <c r="D5" s="29"/>
      <c r="E5" s="29"/>
      <c r="F5" s="29"/>
      <c r="G5" s="29"/>
      <c r="H5" s="29"/>
      <c r="I5" s="29"/>
      <c r="J5" s="372"/>
      <c r="K5" s="372"/>
      <c r="Q5" s="225"/>
      <c r="R5" s="225"/>
      <c r="S5" s="372"/>
      <c r="T5" s="372"/>
      <c r="U5" s="372"/>
      <c r="V5" s="372"/>
      <c r="X5" s="373"/>
      <c r="Y5" s="372"/>
      <c r="Z5" s="372"/>
    </row>
    <row r="6" spans="1:31" ht="16" x14ac:dyDescent="0.2">
      <c r="C6" s="29"/>
      <c r="D6" s="29"/>
      <c r="E6" s="29"/>
      <c r="F6" s="29"/>
      <c r="G6" s="29"/>
      <c r="H6" s="29"/>
      <c r="I6" s="29"/>
      <c r="J6" s="372"/>
      <c r="K6" s="372"/>
      <c r="S6" s="374"/>
      <c r="T6" s="374"/>
      <c r="U6" s="374"/>
      <c r="V6" s="374"/>
    </row>
    <row r="7" spans="1:31" ht="16" x14ac:dyDescent="0.2">
      <c r="C7" s="29"/>
      <c r="D7" s="29"/>
      <c r="E7" s="29"/>
      <c r="F7" s="29"/>
      <c r="G7" s="29"/>
      <c r="H7" s="29"/>
      <c r="I7" s="29"/>
      <c r="J7" s="372"/>
      <c r="K7" s="372"/>
      <c r="L7" s="30"/>
      <c r="M7" s="30"/>
      <c r="S7" s="374"/>
      <c r="T7" s="374"/>
      <c r="U7" s="374"/>
      <c r="V7" s="374"/>
    </row>
    <row r="8" spans="1:31" ht="16" x14ac:dyDescent="0.2">
      <c r="C8" s="29"/>
      <c r="D8" s="29"/>
      <c r="E8" s="29"/>
      <c r="F8" s="29"/>
      <c r="G8" s="29"/>
      <c r="H8" s="29"/>
      <c r="I8" s="29"/>
      <c r="J8" s="372"/>
      <c r="K8" s="372"/>
      <c r="S8" s="374"/>
      <c r="T8" s="374"/>
      <c r="U8" s="374"/>
      <c r="V8" s="374"/>
    </row>
    <row r="9" spans="1:31" ht="16" x14ac:dyDescent="0.2">
      <c r="C9" s="29"/>
      <c r="D9" s="29"/>
      <c r="E9" s="29"/>
      <c r="F9" s="29"/>
      <c r="G9" s="29"/>
      <c r="H9" s="29"/>
      <c r="I9" s="29"/>
      <c r="J9" s="372"/>
      <c r="K9" s="372"/>
      <c r="S9" s="374"/>
      <c r="T9" s="374"/>
      <c r="U9" s="374"/>
      <c r="V9" s="374"/>
    </row>
    <row r="10" spans="1:31" ht="16" x14ac:dyDescent="0.2">
      <c r="C10" s="29"/>
      <c r="D10" s="29"/>
      <c r="E10" s="29"/>
      <c r="F10" s="29"/>
      <c r="G10" s="29"/>
      <c r="H10" s="29"/>
      <c r="I10" s="29"/>
      <c r="J10" s="372"/>
      <c r="K10" s="372"/>
      <c r="L10" s="31"/>
      <c r="M10" s="32"/>
      <c r="N10" s="31"/>
      <c r="O10" s="31"/>
      <c r="P10" s="31"/>
      <c r="Q10" s="31"/>
      <c r="R10" s="32"/>
      <c r="S10" s="374"/>
      <c r="T10" s="374"/>
      <c r="U10" s="374"/>
      <c r="V10" s="374"/>
      <c r="W10" s="4"/>
      <c r="X10" s="11"/>
      <c r="Y10" s="11"/>
      <c r="Z10" s="11"/>
      <c r="AA10" s="4"/>
      <c r="AB10" s="4"/>
      <c r="AC10" s="4"/>
      <c r="AD10" s="4"/>
      <c r="AE10" s="4"/>
    </row>
    <row r="11" spans="1:31" ht="16" x14ac:dyDescent="0.2">
      <c r="J11" s="372"/>
      <c r="K11" s="372"/>
      <c r="S11" s="374"/>
      <c r="T11" s="374"/>
      <c r="U11" s="374"/>
      <c r="V11" s="374"/>
    </row>
    <row r="12" spans="1:31" s="375" customFormat="1" ht="15" x14ac:dyDescent="0.2">
      <c r="A12" s="375" t="s">
        <v>541</v>
      </c>
      <c r="C12" s="375">
        <f>COUNTIF(C4:C11,1)</f>
        <v>0</v>
      </c>
      <c r="D12" s="375">
        <f t="shared" ref="D12:I12" si="0">COUNTIF(D4:D11,1)</f>
        <v>0</v>
      </c>
      <c r="E12" s="375">
        <f t="shared" si="0"/>
        <v>1</v>
      </c>
      <c r="F12" s="375">
        <f t="shared" si="0"/>
        <v>1</v>
      </c>
      <c r="G12" s="375">
        <f t="shared" si="0"/>
        <v>1</v>
      </c>
      <c r="H12" s="375">
        <f t="shared" si="0"/>
        <v>1</v>
      </c>
      <c r="I12" s="375">
        <f t="shared" si="0"/>
        <v>0</v>
      </c>
      <c r="J12" s="376" t="e">
        <f>AVERAGE(J5:J11)</f>
        <v>#DIV/0!</v>
      </c>
      <c r="K12" s="377" t="s">
        <v>285</v>
      </c>
      <c r="L12" s="375">
        <f>AVERAGE(L4:L11)</f>
        <v>5</v>
      </c>
      <c r="M12" s="377" t="s">
        <v>285</v>
      </c>
      <c r="N12" s="375">
        <f>+AVERAGE(N4:N11)</f>
        <v>29</v>
      </c>
      <c r="O12" s="375">
        <f t="shared" ref="O12:Q12" si="1">+AVERAGE(O4:O11)</f>
        <v>27</v>
      </c>
      <c r="P12" s="375">
        <f t="shared" si="1"/>
        <v>29</v>
      </c>
      <c r="Q12" s="375">
        <f t="shared" si="1"/>
        <v>85</v>
      </c>
      <c r="R12" s="375" t="s">
        <v>285</v>
      </c>
      <c r="S12" s="376" t="e">
        <f>AVERAGE(S5:S11)</f>
        <v>#DIV/0!</v>
      </c>
      <c r="T12" s="376" t="e">
        <f t="shared" ref="T12:V12" si="2">AVERAGE(T5:T11)</f>
        <v>#DIV/0!</v>
      </c>
      <c r="U12" s="376" t="e">
        <f t="shared" si="2"/>
        <v>#DIV/0!</v>
      </c>
      <c r="V12" s="376" t="e">
        <f t="shared" si="2"/>
        <v>#DIV/0!</v>
      </c>
      <c r="X12" s="375">
        <f>AVERAGE(X4:X11)</f>
        <v>25</v>
      </c>
      <c r="Y12" s="375">
        <f>AVERAGE(Y4:Y11)</f>
        <v>18</v>
      </c>
      <c r="Z12" s="375">
        <f>AVERAGE(Z4:Z11)</f>
        <v>8</v>
      </c>
    </row>
    <row r="13" spans="1:31" s="3" customFormat="1" ht="17.25" customHeight="1" x14ac:dyDescent="0.2">
      <c r="A13" s="2" t="s">
        <v>317</v>
      </c>
      <c r="B13" s="2" t="s">
        <v>318</v>
      </c>
      <c r="C13" s="438" t="s">
        <v>6</v>
      </c>
      <c r="D13" s="438"/>
      <c r="E13" s="438"/>
      <c r="F13" s="438"/>
      <c r="G13" s="438"/>
      <c r="H13" s="438"/>
      <c r="I13" s="332"/>
      <c r="J13" s="332" t="s">
        <v>122</v>
      </c>
      <c r="K13" s="2"/>
      <c r="L13" s="332" t="s">
        <v>125</v>
      </c>
      <c r="M13" s="2"/>
      <c r="N13" s="438" t="s">
        <v>126</v>
      </c>
      <c r="O13" s="438"/>
      <c r="P13" s="438"/>
      <c r="Q13" s="438"/>
      <c r="R13" s="2"/>
      <c r="S13" s="438" t="s">
        <v>319</v>
      </c>
      <c r="T13" s="438"/>
      <c r="U13" s="438"/>
      <c r="V13" s="438"/>
      <c r="X13" s="41" t="s">
        <v>320</v>
      </c>
      <c r="Z13" s="43"/>
      <c r="AC13" s="439" t="s">
        <v>124</v>
      </c>
      <c r="AD13" s="439"/>
    </row>
    <row r="14" spans="1:31" s="37" customFormat="1" ht="32" x14ac:dyDescent="0.2">
      <c r="A14" s="25"/>
      <c r="B14" s="25"/>
      <c r="C14" s="371" t="s">
        <v>310</v>
      </c>
      <c r="D14" s="371" t="s">
        <v>125</v>
      </c>
      <c r="E14" s="371" t="s">
        <v>536</v>
      </c>
      <c r="F14" s="371" t="s">
        <v>537</v>
      </c>
      <c r="G14" s="371" t="s">
        <v>538</v>
      </c>
      <c r="H14" s="371" t="s">
        <v>539</v>
      </c>
      <c r="I14" s="371" t="s">
        <v>540</v>
      </c>
      <c r="J14" s="25" t="s">
        <v>323</v>
      </c>
      <c r="K14" s="34" t="s">
        <v>324</v>
      </c>
      <c r="L14" s="25" t="s">
        <v>323</v>
      </c>
      <c r="M14" s="25" t="s">
        <v>324</v>
      </c>
      <c r="N14" s="25" t="s">
        <v>325</v>
      </c>
      <c r="O14" s="25" t="s">
        <v>326</v>
      </c>
      <c r="P14" s="25" t="s">
        <v>327</v>
      </c>
      <c r="Q14" s="25" t="s">
        <v>323</v>
      </c>
      <c r="R14" s="25" t="s">
        <v>328</v>
      </c>
      <c r="S14" s="35" t="s">
        <v>329</v>
      </c>
      <c r="T14" s="35" t="s">
        <v>543</v>
      </c>
      <c r="U14" s="35" t="s">
        <v>331</v>
      </c>
      <c r="V14" s="36" t="s">
        <v>323</v>
      </c>
      <c r="X14" s="37" t="s">
        <v>332</v>
      </c>
      <c r="Y14" s="37" t="s">
        <v>333</v>
      </c>
      <c r="Z14" s="37" t="s">
        <v>334</v>
      </c>
      <c r="AA14" s="27" t="s">
        <v>335</v>
      </c>
      <c r="AB14" s="27"/>
      <c r="AC14" s="27" t="s">
        <v>124</v>
      </c>
      <c r="AD14" s="27" t="s">
        <v>328</v>
      </c>
    </row>
    <row r="15" spans="1:31" ht="16" x14ac:dyDescent="0.2">
      <c r="C15" s="29"/>
      <c r="D15" s="29"/>
      <c r="E15" s="29"/>
      <c r="F15" s="29"/>
      <c r="G15" s="29"/>
      <c r="H15" s="29"/>
      <c r="I15" s="29"/>
      <c r="J15" s="437" t="s">
        <v>280</v>
      </c>
      <c r="K15" s="437"/>
      <c r="L15" s="31"/>
      <c r="M15" s="32"/>
      <c r="N15" s="15"/>
      <c r="O15" s="15"/>
      <c r="P15" s="15"/>
      <c r="Q15" s="317"/>
      <c r="R15" s="38"/>
      <c r="S15" s="441" t="s">
        <v>280</v>
      </c>
      <c r="T15" s="441"/>
      <c r="U15" s="441"/>
      <c r="V15" s="441"/>
      <c r="W15" s="4"/>
      <c r="X15" s="39"/>
      <c r="Y15" s="4"/>
      <c r="Z15" s="39"/>
      <c r="AA15" s="4"/>
      <c r="AB15" s="4"/>
      <c r="AC15" s="440" t="s">
        <v>285</v>
      </c>
      <c r="AD15" s="440"/>
      <c r="AE15" s="4"/>
    </row>
    <row r="16" spans="1:31" ht="16" x14ac:dyDescent="0.2">
      <c r="C16" s="29"/>
      <c r="D16" s="29"/>
      <c r="E16" s="29"/>
      <c r="F16" s="29"/>
      <c r="G16" s="29"/>
      <c r="H16" s="29"/>
      <c r="I16" s="29"/>
      <c r="J16" s="437" t="s">
        <v>280</v>
      </c>
      <c r="K16" s="437"/>
      <c r="L16" s="31"/>
      <c r="M16" s="32"/>
      <c r="N16" s="15"/>
      <c r="O16" s="15"/>
      <c r="P16" s="15"/>
      <c r="Q16" s="38"/>
      <c r="R16" s="38"/>
      <c r="S16" s="441" t="s">
        <v>280</v>
      </c>
      <c r="T16" s="441"/>
      <c r="U16" s="441"/>
      <c r="V16" s="441"/>
      <c r="W16" s="4"/>
      <c r="X16" s="4"/>
      <c r="Y16" s="4"/>
      <c r="Z16" s="4"/>
      <c r="AA16" s="4"/>
      <c r="AB16" s="4"/>
      <c r="AC16" s="440" t="s">
        <v>285</v>
      </c>
      <c r="AD16" s="440"/>
      <c r="AE16" s="4"/>
    </row>
    <row r="17" spans="1:31" ht="16" x14ac:dyDescent="0.2">
      <c r="C17" s="29"/>
      <c r="D17" s="29"/>
      <c r="E17" s="29"/>
      <c r="F17" s="29"/>
      <c r="G17" s="29"/>
      <c r="H17" s="29"/>
      <c r="I17" s="29"/>
      <c r="J17" s="437" t="s">
        <v>280</v>
      </c>
      <c r="K17" s="437"/>
      <c r="L17" s="48"/>
      <c r="M17" s="278"/>
      <c r="N17" s="15"/>
      <c r="O17" s="15"/>
      <c r="P17" s="15"/>
      <c r="Q17" s="317"/>
      <c r="R17" s="38"/>
      <c r="S17" s="441" t="s">
        <v>280</v>
      </c>
      <c r="T17" s="441"/>
      <c r="U17" s="441"/>
      <c r="V17" s="441"/>
      <c r="W17" s="4"/>
      <c r="X17" s="39"/>
      <c r="Y17" s="4"/>
      <c r="Z17" s="39"/>
      <c r="AA17" s="4"/>
      <c r="AB17" s="4"/>
      <c r="AC17" s="440" t="s">
        <v>285</v>
      </c>
      <c r="AD17" s="440"/>
      <c r="AE17" s="4"/>
    </row>
    <row r="18" spans="1:31" ht="16" x14ac:dyDescent="0.2">
      <c r="C18" s="29"/>
      <c r="D18" s="29"/>
      <c r="E18" s="29"/>
      <c r="F18" s="29"/>
      <c r="G18" s="29"/>
      <c r="H18" s="29"/>
      <c r="I18" s="29"/>
      <c r="J18" s="437" t="s">
        <v>280</v>
      </c>
      <c r="K18" s="437"/>
      <c r="L18" s="31"/>
      <c r="M18" s="32"/>
      <c r="N18" s="15"/>
      <c r="O18" s="15"/>
      <c r="P18" s="15"/>
      <c r="Q18" s="15"/>
      <c r="R18" s="15"/>
      <c r="S18" s="441" t="s">
        <v>280</v>
      </c>
      <c r="T18" s="441"/>
      <c r="U18" s="441"/>
      <c r="V18" s="441"/>
      <c r="W18" s="4"/>
      <c r="X18" s="4"/>
      <c r="Y18" s="4"/>
      <c r="Z18" s="4"/>
      <c r="AA18" s="4"/>
      <c r="AB18" s="4"/>
      <c r="AC18" s="440" t="s">
        <v>285</v>
      </c>
      <c r="AD18" s="440"/>
      <c r="AE18" s="4"/>
    </row>
    <row r="19" spans="1:31" ht="16" x14ac:dyDescent="0.2">
      <c r="J19" s="437" t="s">
        <v>280</v>
      </c>
      <c r="K19" s="437"/>
      <c r="L19" s="48"/>
      <c r="M19" s="278"/>
      <c r="N19" s="15"/>
      <c r="O19" s="15"/>
      <c r="P19" s="15"/>
      <c r="Q19" s="38"/>
      <c r="R19" s="38"/>
      <c r="S19" s="441" t="s">
        <v>280</v>
      </c>
      <c r="T19" s="441"/>
      <c r="U19" s="441"/>
      <c r="V19" s="441"/>
      <c r="W19" s="4"/>
      <c r="X19" s="39"/>
      <c r="Y19" s="4"/>
      <c r="Z19" s="4"/>
      <c r="AA19" s="4"/>
      <c r="AB19" s="4"/>
      <c r="AC19" s="440" t="s">
        <v>285</v>
      </c>
      <c r="AD19" s="440"/>
      <c r="AE19" s="4"/>
    </row>
    <row r="20" spans="1:31" ht="16" x14ac:dyDescent="0.2">
      <c r="J20" s="437" t="s">
        <v>280</v>
      </c>
      <c r="K20" s="437"/>
      <c r="L20" s="31"/>
      <c r="M20" s="44"/>
      <c r="N20" s="15"/>
      <c r="O20" s="15"/>
      <c r="P20" s="15"/>
      <c r="Q20" s="15"/>
      <c r="R20" s="15"/>
      <c r="S20" s="441" t="s">
        <v>280</v>
      </c>
      <c r="T20" s="441"/>
      <c r="U20" s="441"/>
      <c r="V20" s="441"/>
      <c r="W20" s="4"/>
      <c r="X20" s="4"/>
      <c r="Y20" s="4"/>
      <c r="Z20" s="4"/>
      <c r="AA20" s="4"/>
      <c r="AB20" s="4"/>
      <c r="AC20" s="440" t="s">
        <v>285</v>
      </c>
      <c r="AD20" s="440"/>
      <c r="AE20" s="4"/>
    </row>
    <row r="21" spans="1:31" ht="16" x14ac:dyDescent="0.2">
      <c r="J21" s="437" t="s">
        <v>280</v>
      </c>
      <c r="K21" s="437"/>
      <c r="L21" s="48"/>
      <c r="M21" s="278"/>
      <c r="N21" s="15"/>
      <c r="O21" s="15"/>
      <c r="P21" s="15"/>
      <c r="Q21" s="317"/>
      <c r="R21" s="38"/>
      <c r="S21" s="441" t="s">
        <v>280</v>
      </c>
      <c r="T21" s="441"/>
      <c r="U21" s="441"/>
      <c r="V21" s="441"/>
      <c r="W21" s="4"/>
      <c r="X21" s="39"/>
      <c r="Y21" s="4"/>
      <c r="Z21" s="4"/>
      <c r="AA21" s="4"/>
      <c r="AB21" s="4"/>
      <c r="AC21" s="440" t="s">
        <v>285</v>
      </c>
      <c r="AD21" s="440"/>
      <c r="AE21" s="4"/>
    </row>
    <row r="22" spans="1:31" ht="16" x14ac:dyDescent="0.2">
      <c r="C22" s="29"/>
      <c r="D22" s="29"/>
      <c r="E22" s="29"/>
      <c r="F22" s="29"/>
      <c r="G22" s="29"/>
      <c r="H22" s="29"/>
      <c r="I22" s="29"/>
      <c r="J22" s="437" t="s">
        <v>280</v>
      </c>
      <c r="K22" s="437"/>
      <c r="L22" s="49"/>
      <c r="M22" s="159"/>
      <c r="N22" s="4"/>
      <c r="O22" s="4"/>
      <c r="P22" s="4"/>
      <c r="Q22" s="4"/>
      <c r="R22" s="15"/>
      <c r="S22" s="441" t="s">
        <v>280</v>
      </c>
      <c r="T22" s="441"/>
      <c r="U22" s="441"/>
      <c r="V22" s="441"/>
      <c r="X22" s="39"/>
      <c r="Y22" s="4"/>
      <c r="Z22" s="4"/>
      <c r="AC22" s="440" t="s">
        <v>285</v>
      </c>
      <c r="AD22" s="440"/>
      <c r="AE22" s="4"/>
    </row>
    <row r="23" spans="1:31" ht="16" x14ac:dyDescent="0.2">
      <c r="C23" s="29"/>
      <c r="D23" s="29"/>
      <c r="E23" s="29"/>
      <c r="F23" s="29"/>
      <c r="G23" s="29"/>
      <c r="H23" s="29"/>
      <c r="I23" s="29"/>
      <c r="J23" s="437" t="s">
        <v>280</v>
      </c>
      <c r="K23" s="437"/>
      <c r="L23" s="49"/>
      <c r="M23" s="159"/>
      <c r="N23" s="4"/>
      <c r="O23" s="4"/>
      <c r="P23" s="4"/>
      <c r="Q23" s="318"/>
      <c r="R23" s="39"/>
      <c r="S23" s="441" t="s">
        <v>280</v>
      </c>
      <c r="T23" s="441"/>
      <c r="U23" s="441"/>
      <c r="V23" s="441"/>
      <c r="X23" s="39"/>
      <c r="Y23" s="4"/>
      <c r="Z23" s="4"/>
      <c r="AC23" s="440" t="s">
        <v>285</v>
      </c>
      <c r="AD23" s="440"/>
      <c r="AE23" s="316"/>
    </row>
    <row r="24" spans="1:31" ht="16" x14ac:dyDescent="0.2">
      <c r="C24" s="29"/>
      <c r="D24" s="29"/>
      <c r="E24" s="29"/>
      <c r="F24" s="29"/>
      <c r="G24" s="29"/>
      <c r="H24" s="29"/>
      <c r="I24" s="29"/>
      <c r="J24" s="437" t="s">
        <v>280</v>
      </c>
      <c r="K24" s="437"/>
      <c r="L24" s="31"/>
      <c r="M24" s="32"/>
      <c r="N24" s="15"/>
      <c r="O24" s="15"/>
      <c r="P24" s="15"/>
      <c r="Q24" s="38"/>
      <c r="R24" s="38"/>
      <c r="S24" s="441" t="s">
        <v>280</v>
      </c>
      <c r="T24" s="441"/>
      <c r="U24" s="441"/>
      <c r="V24" s="441"/>
      <c r="W24" s="4"/>
      <c r="X24" s="38"/>
      <c r="Y24" s="15"/>
      <c r="Z24" s="38"/>
      <c r="AA24" s="4"/>
      <c r="AB24" s="4"/>
      <c r="AC24" s="440" t="s">
        <v>285</v>
      </c>
      <c r="AD24" s="440"/>
      <c r="AE24" s="316"/>
    </row>
    <row r="25" spans="1:31" s="378" customFormat="1" ht="15" x14ac:dyDescent="0.2">
      <c r="J25" s="445" t="s">
        <v>285</v>
      </c>
      <c r="K25" s="446"/>
      <c r="L25" s="379" t="e">
        <f>AVERAGE(L15:L24)</f>
        <v>#DIV/0!</v>
      </c>
      <c r="M25" s="380" t="s">
        <v>285</v>
      </c>
      <c r="N25" s="380" t="e">
        <f>AVERAGE(N15:N24)</f>
        <v>#DIV/0!</v>
      </c>
      <c r="O25" s="380" t="e">
        <f t="shared" ref="O25:P25" si="3">AVERAGE(O15:O24)</f>
        <v>#DIV/0!</v>
      </c>
      <c r="P25" s="380" t="e">
        <f t="shared" si="3"/>
        <v>#DIV/0!</v>
      </c>
      <c r="Q25" s="380" t="e">
        <f>AVERAGE(Q15:Q24)</f>
        <v>#DIV/0!</v>
      </c>
      <c r="R25" s="380" t="s">
        <v>285</v>
      </c>
      <c r="S25" s="445" t="s">
        <v>285</v>
      </c>
      <c r="T25" s="447"/>
      <c r="U25" s="447"/>
      <c r="V25" s="446"/>
      <c r="W25" s="380"/>
      <c r="X25" s="380" t="e">
        <f>AVERAGE(X15:X24)</f>
        <v>#DIV/0!</v>
      </c>
      <c r="Y25" s="380" t="e">
        <f t="shared" ref="Y25:Z25" si="4">AVERAGE(Y15:Y24)</f>
        <v>#DIV/0!</v>
      </c>
      <c r="Z25" s="380" t="e">
        <f t="shared" si="4"/>
        <v>#DIV/0!</v>
      </c>
      <c r="AA25" s="380"/>
      <c r="AB25" s="380"/>
      <c r="AC25" s="445" t="s">
        <v>285</v>
      </c>
      <c r="AD25" s="446"/>
      <c r="AE25" s="377"/>
    </row>
    <row r="26" spans="1:31" s="3" customFormat="1" ht="16" x14ac:dyDescent="0.2">
      <c r="A26" s="2" t="s">
        <v>468</v>
      </c>
      <c r="B26" s="2"/>
      <c r="C26" s="42"/>
      <c r="D26" s="42"/>
      <c r="E26" s="42"/>
      <c r="F26" s="42"/>
      <c r="G26" s="42"/>
      <c r="H26" s="42"/>
      <c r="I26" s="42"/>
      <c r="J26" s="332" t="s">
        <v>122</v>
      </c>
      <c r="K26" s="2"/>
      <c r="L26" s="332" t="s">
        <v>125</v>
      </c>
      <c r="M26" s="2"/>
      <c r="N26" s="438" t="s">
        <v>126</v>
      </c>
      <c r="O26" s="438"/>
      <c r="P26" s="438"/>
      <c r="Q26" s="438"/>
      <c r="R26" s="2"/>
      <c r="S26" s="438" t="s">
        <v>319</v>
      </c>
      <c r="T26" s="438"/>
      <c r="U26" s="438"/>
      <c r="V26" s="438"/>
      <c r="X26" s="41" t="s">
        <v>320</v>
      </c>
      <c r="Z26" s="43"/>
    </row>
    <row r="27" spans="1:31" s="27" customFormat="1" ht="32" x14ac:dyDescent="0.2">
      <c r="A27" s="23"/>
      <c r="B27" s="23"/>
      <c r="C27" s="23"/>
      <c r="D27" s="23"/>
      <c r="E27" s="23"/>
      <c r="F27" s="23"/>
      <c r="G27" s="23"/>
      <c r="H27" s="23"/>
      <c r="I27" s="23"/>
      <c r="J27" s="23" t="s">
        <v>323</v>
      </c>
      <c r="K27" s="24" t="s">
        <v>324</v>
      </c>
      <c r="L27" s="23" t="s">
        <v>323</v>
      </c>
      <c r="M27" s="23" t="s">
        <v>324</v>
      </c>
      <c r="N27" s="23" t="s">
        <v>325</v>
      </c>
      <c r="O27" s="23" t="s">
        <v>326</v>
      </c>
      <c r="P27" s="23" t="s">
        <v>327</v>
      </c>
      <c r="Q27" s="23" t="s">
        <v>323</v>
      </c>
      <c r="R27" s="25" t="s">
        <v>328</v>
      </c>
      <c r="S27" s="23" t="s">
        <v>329</v>
      </c>
      <c r="T27" s="23" t="s">
        <v>330</v>
      </c>
      <c r="U27" s="23" t="s">
        <v>331</v>
      </c>
      <c r="V27" s="26" t="s">
        <v>323</v>
      </c>
      <c r="X27" s="27" t="s">
        <v>332</v>
      </c>
      <c r="Y27" s="27" t="s">
        <v>333</v>
      </c>
      <c r="Z27" s="27" t="s">
        <v>334</v>
      </c>
      <c r="AA27" s="27" t="s">
        <v>335</v>
      </c>
      <c r="AC27" s="27" t="s">
        <v>124</v>
      </c>
      <c r="AD27" s="27" t="s">
        <v>328</v>
      </c>
    </row>
    <row r="28" spans="1:31" ht="16" x14ac:dyDescent="0.2">
      <c r="J28" s="381"/>
      <c r="K28" s="381"/>
      <c r="L28" s="15"/>
      <c r="S28" s="381"/>
      <c r="T28" s="381"/>
      <c r="U28" s="381"/>
      <c r="V28" s="381"/>
    </row>
    <row r="29" spans="1:31" ht="16" x14ac:dyDescent="0.2">
      <c r="J29" s="15"/>
      <c r="K29" s="15"/>
      <c r="L29" s="15"/>
      <c r="M29" s="15"/>
      <c r="N29" s="15"/>
      <c r="O29" s="15"/>
      <c r="P29" s="15"/>
      <c r="Q29" s="15"/>
      <c r="R29" s="15"/>
      <c r="S29" s="15"/>
      <c r="T29" s="15"/>
      <c r="U29" s="4"/>
      <c r="V29" s="4"/>
      <c r="W29" s="4"/>
      <c r="X29" s="4"/>
      <c r="Y29" s="4"/>
      <c r="Z29" s="4"/>
      <c r="AA29" s="4"/>
      <c r="AB29" s="4"/>
      <c r="AC29" s="4"/>
      <c r="AD29" s="4"/>
    </row>
    <row r="30" spans="1:31" ht="16" x14ac:dyDescent="0.2">
      <c r="J30" s="15"/>
      <c r="K30" s="15"/>
      <c r="L30" s="15"/>
      <c r="M30" s="15"/>
      <c r="N30" s="15"/>
      <c r="O30" s="15"/>
      <c r="P30" s="15"/>
      <c r="Q30" s="15"/>
      <c r="R30" s="15"/>
      <c r="S30" s="15"/>
      <c r="T30" s="15"/>
      <c r="U30" s="4"/>
      <c r="V30" s="4"/>
      <c r="W30" s="4"/>
      <c r="X30" s="4"/>
      <c r="Y30" s="4"/>
      <c r="Z30" s="4"/>
      <c r="AA30" s="4"/>
      <c r="AB30" s="4"/>
      <c r="AC30" s="4"/>
      <c r="AD30" s="4"/>
    </row>
    <row r="31" spans="1:31" ht="16" x14ac:dyDescent="0.2">
      <c r="J31" s="15"/>
      <c r="K31" s="15"/>
      <c r="L31" s="15"/>
      <c r="M31" s="15"/>
      <c r="N31" s="15"/>
      <c r="O31" s="15"/>
      <c r="P31" s="15"/>
      <c r="Q31" s="15"/>
      <c r="R31" s="15"/>
      <c r="S31" s="15"/>
      <c r="T31" s="15"/>
      <c r="U31" s="4"/>
      <c r="V31" s="4"/>
      <c r="W31" s="4"/>
      <c r="X31" s="4"/>
      <c r="Y31" s="4"/>
      <c r="Z31" s="4"/>
      <c r="AA31" s="4"/>
      <c r="AB31" s="4"/>
      <c r="AC31" s="4"/>
      <c r="AD31" s="4"/>
    </row>
    <row r="32" spans="1:31" ht="16" x14ac:dyDescent="0.2">
      <c r="J32" s="15"/>
      <c r="K32" s="15"/>
      <c r="L32" s="15"/>
      <c r="M32" s="15"/>
      <c r="N32" s="15"/>
      <c r="O32" s="15"/>
      <c r="P32" s="15"/>
      <c r="Q32" s="15"/>
      <c r="R32" s="15"/>
      <c r="S32" s="15"/>
      <c r="T32" s="15"/>
      <c r="U32" s="4"/>
      <c r="V32" s="4"/>
      <c r="W32" s="4"/>
      <c r="X32" s="4"/>
      <c r="Y32" s="4"/>
      <c r="Z32" s="4"/>
      <c r="AA32" s="4"/>
      <c r="AB32" s="4"/>
      <c r="AC32" s="4"/>
      <c r="AD32" s="4"/>
    </row>
    <row r="33" spans="1:26" s="3" customFormat="1" ht="16" x14ac:dyDescent="0.2">
      <c r="A33" s="2" t="s">
        <v>469</v>
      </c>
      <c r="B33" s="2"/>
      <c r="C33" s="42"/>
      <c r="D33" s="42"/>
      <c r="E33" s="42"/>
      <c r="F33" s="42"/>
      <c r="G33" s="42"/>
      <c r="H33" s="42"/>
      <c r="I33" s="42"/>
      <c r="J33" s="332" t="s">
        <v>122</v>
      </c>
      <c r="K33" s="2"/>
      <c r="L33" s="332" t="s">
        <v>125</v>
      </c>
      <c r="M33" s="2"/>
      <c r="N33" s="438" t="s">
        <v>126</v>
      </c>
      <c r="O33" s="438"/>
      <c r="P33" s="438"/>
      <c r="Q33" s="438"/>
      <c r="R33" s="2"/>
      <c r="S33" s="438" t="s">
        <v>319</v>
      </c>
      <c r="T33" s="438"/>
      <c r="U33" s="438"/>
      <c r="V33" s="438"/>
      <c r="X33" s="41" t="s">
        <v>320</v>
      </c>
      <c r="Z33" s="43"/>
    </row>
    <row r="43" spans="1:26" ht="15.75" customHeight="1" x14ac:dyDescent="0.2">
      <c r="J43" s="314" t="s">
        <v>470</v>
      </c>
      <c r="K43" s="314" t="s">
        <v>471</v>
      </c>
      <c r="M43" s="1" t="s">
        <v>125</v>
      </c>
      <c r="O43" s="1" t="s">
        <v>126</v>
      </c>
      <c r="P43" s="1"/>
      <c r="Q43" s="157" t="s">
        <v>472</v>
      </c>
      <c r="R43" s="1"/>
      <c r="S43" s="157" t="s">
        <v>473</v>
      </c>
      <c r="U43" s="1" t="s">
        <v>474</v>
      </c>
      <c r="V43" s="1" t="s">
        <v>475</v>
      </c>
    </row>
    <row r="44" spans="1:26" ht="15.75" customHeight="1" x14ac:dyDescent="0.2">
      <c r="J44" s="14" t="s">
        <v>476</v>
      </c>
      <c r="K44" s="14" t="s">
        <v>477</v>
      </c>
      <c r="M44" t="s">
        <v>478</v>
      </c>
      <c r="N44" t="s">
        <v>479</v>
      </c>
      <c r="O44" s="44" t="s">
        <v>480</v>
      </c>
      <c r="P44" t="s">
        <v>481</v>
      </c>
      <c r="Q44" s="155" t="s">
        <v>482</v>
      </c>
      <c r="R44" s="155" t="s">
        <v>483</v>
      </c>
      <c r="S44" s="44" t="s">
        <v>484</v>
      </c>
      <c r="T44" t="s">
        <v>485</v>
      </c>
      <c r="U44" t="s">
        <v>486</v>
      </c>
      <c r="V44" s="160" t="s">
        <v>487</v>
      </c>
    </row>
    <row r="45" spans="1:26" ht="15.75" customHeight="1" x14ac:dyDescent="0.2">
      <c r="J45" s="315" t="s">
        <v>488</v>
      </c>
      <c r="K45" s="315" t="s">
        <v>489</v>
      </c>
      <c r="M45" t="s">
        <v>490</v>
      </c>
      <c r="N45" s="155" t="s">
        <v>491</v>
      </c>
      <c r="O45" s="30" t="s">
        <v>492</v>
      </c>
      <c r="P45" s="30" t="s">
        <v>493</v>
      </c>
      <c r="Q45" s="44" t="s">
        <v>494</v>
      </c>
      <c r="R45" s="155" t="s">
        <v>495</v>
      </c>
      <c r="S45" s="162" t="s">
        <v>496</v>
      </c>
      <c r="T45" s="22" t="s">
        <v>497</v>
      </c>
      <c r="V45" t="s">
        <v>498</v>
      </c>
    </row>
    <row r="46" spans="1:26" ht="15.75" customHeight="1" x14ac:dyDescent="0.2">
      <c r="J46" s="315" t="s">
        <v>499</v>
      </c>
      <c r="K46" s="315" t="s">
        <v>500</v>
      </c>
      <c r="M46" s="30" t="s">
        <v>501</v>
      </c>
      <c r="N46" s="30" t="s">
        <v>502</v>
      </c>
      <c r="Q46" s="30" t="s">
        <v>499</v>
      </c>
      <c r="R46" s="30" t="s">
        <v>503</v>
      </c>
      <c r="S46" s="159" t="s">
        <v>504</v>
      </c>
      <c r="T46" s="30" t="s">
        <v>505</v>
      </c>
      <c r="U46" s="30" t="s">
        <v>506</v>
      </c>
      <c r="V46" s="30" t="s">
        <v>507</v>
      </c>
    </row>
    <row r="47" spans="1:26" ht="15.75" customHeight="1" x14ac:dyDescent="0.2">
      <c r="J47" s="315" t="s">
        <v>508</v>
      </c>
      <c r="K47" s="315" t="s">
        <v>509</v>
      </c>
      <c r="M47" s="30" t="s">
        <v>510</v>
      </c>
      <c r="N47" s="30" t="s">
        <v>511</v>
      </c>
      <c r="Q47" s="30" t="s">
        <v>508</v>
      </c>
      <c r="R47" s="30" t="s">
        <v>512</v>
      </c>
      <c r="S47" s="159" t="s">
        <v>513</v>
      </c>
      <c r="T47" s="30" t="s">
        <v>514</v>
      </c>
      <c r="U47" s="30" t="s">
        <v>515</v>
      </c>
      <c r="V47" s="30" t="s">
        <v>516</v>
      </c>
    </row>
    <row r="48" spans="1:26" ht="15.75" customHeight="1" x14ac:dyDescent="0.2">
      <c r="M48" s="30" t="s">
        <v>517</v>
      </c>
      <c r="N48" s="30" t="s">
        <v>518</v>
      </c>
      <c r="Q48" s="30" t="s">
        <v>519</v>
      </c>
      <c r="R48" s="30" t="s">
        <v>520</v>
      </c>
      <c r="S48" s="159" t="s">
        <v>521</v>
      </c>
      <c r="T48" s="30" t="s">
        <v>522</v>
      </c>
      <c r="U48" s="30" t="s">
        <v>523</v>
      </c>
      <c r="V48" s="30" t="s">
        <v>524</v>
      </c>
    </row>
    <row r="49" spans="13:22" ht="15.75" customHeight="1" x14ac:dyDescent="0.2">
      <c r="M49" t="s">
        <v>525</v>
      </c>
      <c r="U49" s="30" t="s">
        <v>526</v>
      </c>
      <c r="V49" s="30" t="s">
        <v>527</v>
      </c>
    </row>
    <row r="50" spans="13:22" ht="15.75" customHeight="1" x14ac:dyDescent="0.2">
      <c r="U50" s="30" t="s">
        <v>528</v>
      </c>
      <c r="V50" s="30" t="s">
        <v>529</v>
      </c>
    </row>
    <row r="51" spans="13:22" ht="15.75" customHeight="1" x14ac:dyDescent="0.2">
      <c r="U51" s="30" t="s">
        <v>530</v>
      </c>
      <c r="V51" s="30" t="s">
        <v>531</v>
      </c>
    </row>
    <row r="52" spans="13:22" ht="15.75" customHeight="1" x14ac:dyDescent="0.2">
      <c r="U52" s="30" t="s">
        <v>532</v>
      </c>
      <c r="V52" s="30" t="s">
        <v>533</v>
      </c>
    </row>
    <row r="53" spans="13:22" ht="15.75" customHeight="1" x14ac:dyDescent="0.2">
      <c r="U53" s="161" t="s">
        <v>534</v>
      </c>
    </row>
  </sheetData>
  <mergeCells count="46">
    <mergeCell ref="C13:H13"/>
    <mergeCell ref="N13:Q13"/>
    <mergeCell ref="S13:V13"/>
    <mergeCell ref="AC13:AD13"/>
    <mergeCell ref="C2:H2"/>
    <mergeCell ref="N2:Q2"/>
    <mergeCell ref="S2:V2"/>
    <mergeCell ref="AC2:AD2"/>
    <mergeCell ref="AC4:AD4"/>
    <mergeCell ref="J15:K15"/>
    <mergeCell ref="S15:V15"/>
    <mergeCell ref="AC15:AD15"/>
    <mergeCell ref="J16:K16"/>
    <mergeCell ref="S16:V16"/>
    <mergeCell ref="AC16:AD16"/>
    <mergeCell ref="J17:K17"/>
    <mergeCell ref="S17:V17"/>
    <mergeCell ref="AC17:AD17"/>
    <mergeCell ref="J18:K18"/>
    <mergeCell ref="S18:V18"/>
    <mergeCell ref="AC18:AD18"/>
    <mergeCell ref="J19:K19"/>
    <mergeCell ref="S19:V19"/>
    <mergeCell ref="AC19:AD19"/>
    <mergeCell ref="J20:K20"/>
    <mergeCell ref="S20:V20"/>
    <mergeCell ref="AC20:AD20"/>
    <mergeCell ref="J21:K21"/>
    <mergeCell ref="S21:V21"/>
    <mergeCell ref="AC21:AD21"/>
    <mergeCell ref="J22:K22"/>
    <mergeCell ref="S22:V22"/>
    <mergeCell ref="AC22:AD22"/>
    <mergeCell ref="N33:Q33"/>
    <mergeCell ref="S33:V33"/>
    <mergeCell ref="J23:K23"/>
    <mergeCell ref="S23:V23"/>
    <mergeCell ref="AC23:AD23"/>
    <mergeCell ref="J24:K24"/>
    <mergeCell ref="S24:V24"/>
    <mergeCell ref="AC24:AD24"/>
    <mergeCell ref="J25:K25"/>
    <mergeCell ref="S25:V25"/>
    <mergeCell ref="AC25:AD25"/>
    <mergeCell ref="N26:Q26"/>
    <mergeCell ref="S26:V26"/>
  </mergeCells>
  <hyperlinks>
    <hyperlink ref="U53" r:id="rId1" location="R6" xr:uid="{11A67F2A-DFD6-4087-B87C-A3866EC5D993}"/>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32F8-C989-134B-8D9F-692DFC9DB94B}">
  <dimension ref="B2:V61"/>
  <sheetViews>
    <sheetView topLeftCell="A12" zoomScale="90" zoomScaleNormal="90" workbookViewId="0">
      <selection activeCell="L26" sqref="L26:Q26"/>
    </sheetView>
  </sheetViews>
  <sheetFormatPr baseColWidth="10" defaultColWidth="11" defaultRowHeight="16" x14ac:dyDescent="0.2"/>
  <cols>
    <col min="9" max="9" width="15" customWidth="1"/>
    <col min="14" max="14" width="11" customWidth="1"/>
    <col min="15" max="15" width="38.33203125" customWidth="1"/>
    <col min="16" max="16" width="19.33203125" customWidth="1"/>
    <col min="17" max="17" width="17.33203125" customWidth="1"/>
  </cols>
  <sheetData>
    <row r="2" spans="2:22" x14ac:dyDescent="0.2">
      <c r="B2" s="427" t="s">
        <v>544</v>
      </c>
      <c r="C2" s="427"/>
      <c r="D2" s="427"/>
      <c r="E2" s="427"/>
      <c r="F2" s="427"/>
      <c r="G2" s="427"/>
      <c r="H2" s="427"/>
      <c r="M2" s="427" t="s">
        <v>545</v>
      </c>
      <c r="N2" s="427"/>
      <c r="O2" s="427"/>
      <c r="P2" s="427"/>
    </row>
    <row r="3" spans="2:22" x14ac:dyDescent="0.2">
      <c r="J3" s="96"/>
    </row>
    <row r="4" spans="2:22" x14ac:dyDescent="0.2">
      <c r="B4" t="s">
        <v>82</v>
      </c>
      <c r="C4" t="s">
        <v>108</v>
      </c>
      <c r="D4" s="1" t="s">
        <v>9</v>
      </c>
      <c r="E4" s="1" t="s">
        <v>13</v>
      </c>
      <c r="F4" s="1" t="s">
        <v>10</v>
      </c>
      <c r="G4" s="1" t="s">
        <v>11</v>
      </c>
      <c r="H4" s="1" t="s">
        <v>12</v>
      </c>
      <c r="I4" s="1"/>
      <c r="J4" s="96"/>
      <c r="L4" s="197" t="s">
        <v>82</v>
      </c>
      <c r="M4" s="198" t="s">
        <v>108</v>
      </c>
      <c r="N4" s="198" t="s">
        <v>546</v>
      </c>
      <c r="O4" s="198" t="s">
        <v>37</v>
      </c>
      <c r="P4" s="198" t="s">
        <v>547</v>
      </c>
      <c r="Q4" s="199" t="s">
        <v>37</v>
      </c>
    </row>
    <row r="5" spans="2:22" x14ac:dyDescent="0.2">
      <c r="B5" s="44" t="s">
        <v>56</v>
      </c>
      <c r="C5" s="103">
        <v>323706</v>
      </c>
      <c r="D5" s="102">
        <v>0</v>
      </c>
      <c r="E5" s="40">
        <v>1</v>
      </c>
      <c r="F5" s="40">
        <v>1</v>
      </c>
      <c r="G5" s="40">
        <v>1</v>
      </c>
      <c r="H5" s="40">
        <v>1</v>
      </c>
      <c r="I5" s="40"/>
      <c r="J5" s="96"/>
      <c r="L5" s="255" t="s">
        <v>56</v>
      </c>
      <c r="M5" s="201">
        <v>323706</v>
      </c>
      <c r="N5" s="244" t="s">
        <v>548</v>
      </c>
      <c r="O5" s="202"/>
      <c r="P5" s="244"/>
      <c r="Q5" s="286"/>
      <c r="R5">
        <v>1</v>
      </c>
    </row>
    <row r="6" spans="2:22" x14ac:dyDescent="0.2">
      <c r="B6" s="44" t="s">
        <v>83</v>
      </c>
      <c r="C6">
        <v>81795</v>
      </c>
      <c r="D6" s="102">
        <v>0</v>
      </c>
      <c r="E6" s="176">
        <v>0</v>
      </c>
      <c r="F6" s="176">
        <v>0</v>
      </c>
      <c r="G6" s="40">
        <v>1</v>
      </c>
      <c r="H6" s="176">
        <v>0</v>
      </c>
      <c r="I6" s="40"/>
      <c r="J6" s="96"/>
      <c r="L6" s="256" t="s">
        <v>83</v>
      </c>
      <c r="M6" s="203">
        <v>81795</v>
      </c>
      <c r="N6" s="245" t="s">
        <v>549</v>
      </c>
      <c r="O6" s="204"/>
      <c r="P6" s="245"/>
      <c r="Q6" s="272"/>
      <c r="R6">
        <v>1</v>
      </c>
      <c r="U6" s="20" t="s">
        <v>550</v>
      </c>
    </row>
    <row r="7" spans="2:22" x14ac:dyDescent="0.2">
      <c r="B7" s="44" t="s">
        <v>84</v>
      </c>
      <c r="C7" s="103">
        <v>797337</v>
      </c>
      <c r="D7" s="102">
        <v>0</v>
      </c>
      <c r="E7" s="176">
        <v>0</v>
      </c>
      <c r="F7" s="40">
        <v>1</v>
      </c>
      <c r="G7" s="40">
        <v>1</v>
      </c>
      <c r="H7" s="40">
        <v>1</v>
      </c>
      <c r="I7" s="40"/>
      <c r="J7" s="96"/>
      <c r="L7" s="256" t="s">
        <v>84</v>
      </c>
      <c r="M7" s="205">
        <v>797337</v>
      </c>
      <c r="N7" s="245" t="s">
        <v>548</v>
      </c>
      <c r="O7" s="204"/>
      <c r="P7" s="245" t="s">
        <v>551</v>
      </c>
      <c r="Q7" s="287" t="s">
        <v>552</v>
      </c>
      <c r="R7">
        <v>1</v>
      </c>
      <c r="S7" s="219" t="s">
        <v>56</v>
      </c>
      <c r="U7" s="248"/>
      <c r="V7" t="s">
        <v>553</v>
      </c>
    </row>
    <row r="8" spans="2:22" x14ac:dyDescent="0.2">
      <c r="B8" s="44" t="s">
        <v>85</v>
      </c>
      <c r="C8" s="103">
        <v>767328</v>
      </c>
      <c r="D8" s="102">
        <v>0</v>
      </c>
      <c r="E8" s="40">
        <v>1</v>
      </c>
      <c r="F8" s="40">
        <v>1</v>
      </c>
      <c r="G8" s="176">
        <v>0</v>
      </c>
      <c r="H8" s="176">
        <v>0</v>
      </c>
      <c r="I8" s="40"/>
      <c r="J8" s="96"/>
      <c r="L8" s="256" t="s">
        <v>85</v>
      </c>
      <c r="M8" s="205">
        <v>767328</v>
      </c>
      <c r="N8" s="245" t="s">
        <v>548</v>
      </c>
      <c r="O8" s="204"/>
      <c r="P8" s="245" t="s">
        <v>551</v>
      </c>
      <c r="Q8" s="287" t="s">
        <v>554</v>
      </c>
      <c r="R8">
        <v>1</v>
      </c>
      <c r="S8" s="212" t="s">
        <v>83</v>
      </c>
      <c r="U8" s="46"/>
      <c r="V8" t="s">
        <v>555</v>
      </c>
    </row>
    <row r="9" spans="2:22" x14ac:dyDescent="0.2">
      <c r="B9" s="44" t="s">
        <v>86</v>
      </c>
      <c r="C9">
        <v>638390</v>
      </c>
      <c r="D9" s="102">
        <v>0</v>
      </c>
      <c r="E9" s="176">
        <v>0</v>
      </c>
      <c r="F9" s="176">
        <v>0</v>
      </c>
      <c r="G9" s="40">
        <v>1</v>
      </c>
      <c r="H9" s="176">
        <v>0</v>
      </c>
      <c r="I9" s="40"/>
      <c r="J9" s="96"/>
      <c r="L9" s="256" t="s">
        <v>86</v>
      </c>
      <c r="M9" s="203">
        <v>638390</v>
      </c>
      <c r="N9" s="245" t="s">
        <v>549</v>
      </c>
      <c r="O9" s="204"/>
      <c r="P9" s="245"/>
      <c r="Q9" s="272"/>
      <c r="R9">
        <v>1</v>
      </c>
      <c r="S9" s="212" t="s">
        <v>84</v>
      </c>
      <c r="U9" s="249"/>
      <c r="V9" t="s">
        <v>556</v>
      </c>
    </row>
    <row r="10" spans="2:22" x14ac:dyDescent="0.2">
      <c r="B10" s="44" t="s">
        <v>87</v>
      </c>
      <c r="C10">
        <v>680171</v>
      </c>
      <c r="D10" s="102">
        <v>0</v>
      </c>
      <c r="E10" s="40">
        <v>1</v>
      </c>
      <c r="F10" s="176">
        <v>0</v>
      </c>
      <c r="G10" s="176">
        <v>0</v>
      </c>
      <c r="H10" s="176">
        <v>0</v>
      </c>
      <c r="I10" s="40"/>
      <c r="J10" s="96"/>
      <c r="L10" s="256" t="s">
        <v>87</v>
      </c>
      <c r="M10" s="203">
        <v>680171</v>
      </c>
      <c r="N10" s="245" t="s">
        <v>557</v>
      </c>
      <c r="O10" s="206" t="s">
        <v>558</v>
      </c>
      <c r="P10" s="245" t="s">
        <v>551</v>
      </c>
      <c r="Q10" s="288" t="s">
        <v>559</v>
      </c>
      <c r="R10">
        <v>1</v>
      </c>
      <c r="S10" s="212" t="s">
        <v>85</v>
      </c>
      <c r="U10" s="250"/>
      <c r="V10" t="s">
        <v>560</v>
      </c>
    </row>
    <row r="11" spans="2:22" x14ac:dyDescent="0.2">
      <c r="B11" s="44" t="s">
        <v>88</v>
      </c>
      <c r="C11">
        <v>446052</v>
      </c>
      <c r="D11" s="102">
        <v>0</v>
      </c>
      <c r="E11" s="176">
        <v>0</v>
      </c>
      <c r="F11" s="176">
        <v>0</v>
      </c>
      <c r="G11" s="40">
        <v>1</v>
      </c>
      <c r="H11" s="176">
        <v>0</v>
      </c>
      <c r="I11" s="40"/>
      <c r="J11" s="96"/>
      <c r="L11" s="256" t="s">
        <v>88</v>
      </c>
      <c r="M11" s="203">
        <v>446052</v>
      </c>
      <c r="N11" s="245" t="s">
        <v>548</v>
      </c>
      <c r="O11" s="204"/>
      <c r="P11" s="245"/>
      <c r="Q11" s="272"/>
      <c r="R11">
        <v>1</v>
      </c>
      <c r="S11" s="212" t="s">
        <v>86</v>
      </c>
      <c r="U11" s="195"/>
      <c r="V11" t="s">
        <v>561</v>
      </c>
    </row>
    <row r="12" spans="2:22" x14ac:dyDescent="0.2">
      <c r="B12" s="44" t="s">
        <v>89</v>
      </c>
      <c r="C12">
        <v>594544</v>
      </c>
      <c r="D12" s="102">
        <v>0</v>
      </c>
      <c r="E12" s="40">
        <v>1</v>
      </c>
      <c r="F12" s="176">
        <v>0</v>
      </c>
      <c r="G12" s="176">
        <v>0</v>
      </c>
      <c r="H12" s="176">
        <v>0</v>
      </c>
      <c r="I12" s="40"/>
      <c r="J12" s="96"/>
      <c r="L12" s="256" t="s">
        <v>89</v>
      </c>
      <c r="M12" s="203">
        <v>594544</v>
      </c>
      <c r="N12" s="251" t="s">
        <v>551</v>
      </c>
      <c r="O12" s="206" t="s">
        <v>562</v>
      </c>
      <c r="P12" s="245"/>
      <c r="Q12" s="272"/>
      <c r="R12">
        <v>1</v>
      </c>
      <c r="S12" s="212" t="s">
        <v>87</v>
      </c>
      <c r="U12" s="75"/>
      <c r="V12" t="s">
        <v>563</v>
      </c>
    </row>
    <row r="13" spans="2:22" x14ac:dyDescent="0.2">
      <c r="B13" s="44" t="s">
        <v>90</v>
      </c>
      <c r="C13">
        <v>606716</v>
      </c>
      <c r="D13" s="102">
        <v>0</v>
      </c>
      <c r="E13" s="176">
        <v>0</v>
      </c>
      <c r="F13" s="176">
        <v>0</v>
      </c>
      <c r="G13" s="40">
        <v>1</v>
      </c>
      <c r="H13" s="176">
        <v>0</v>
      </c>
      <c r="I13" s="40"/>
      <c r="J13" s="96"/>
      <c r="L13" s="256" t="s">
        <v>90</v>
      </c>
      <c r="M13" s="203">
        <v>606716</v>
      </c>
      <c r="N13" s="251" t="s">
        <v>564</v>
      </c>
      <c r="O13" s="204" t="s">
        <v>565</v>
      </c>
      <c r="P13" s="283"/>
      <c r="Q13" s="272"/>
      <c r="R13">
        <v>2</v>
      </c>
      <c r="S13" s="212" t="s">
        <v>94</v>
      </c>
    </row>
    <row r="14" spans="2:22" x14ac:dyDescent="0.2">
      <c r="B14" s="44" t="s">
        <v>91</v>
      </c>
      <c r="C14">
        <v>364837</v>
      </c>
      <c r="D14" s="102">
        <v>0</v>
      </c>
      <c r="E14" s="40">
        <v>1</v>
      </c>
      <c r="F14" s="40">
        <v>1</v>
      </c>
      <c r="G14" s="40">
        <v>1</v>
      </c>
      <c r="H14" s="40">
        <v>1</v>
      </c>
      <c r="I14" s="40"/>
      <c r="J14" s="96"/>
      <c r="L14" s="256" t="s">
        <v>91</v>
      </c>
      <c r="M14" s="203">
        <v>364837</v>
      </c>
      <c r="N14" s="275" t="s">
        <v>564</v>
      </c>
      <c r="O14" s="204" t="s">
        <v>566</v>
      </c>
      <c r="P14" s="245"/>
      <c r="Q14" s="272"/>
      <c r="R14">
        <v>1</v>
      </c>
      <c r="S14" s="212" t="s">
        <v>97</v>
      </c>
    </row>
    <row r="15" spans="2:22" x14ac:dyDescent="0.2">
      <c r="B15" s="44" t="s">
        <v>92</v>
      </c>
      <c r="C15">
        <v>240600</v>
      </c>
      <c r="D15" s="102">
        <v>0</v>
      </c>
      <c r="E15" s="40">
        <v>1</v>
      </c>
      <c r="F15" s="40">
        <v>1</v>
      </c>
      <c r="G15" s="40">
        <v>1</v>
      </c>
      <c r="H15" s="176">
        <v>0</v>
      </c>
      <c r="I15" s="40"/>
      <c r="J15" s="96"/>
      <c r="L15" s="256" t="s">
        <v>92</v>
      </c>
      <c r="M15" s="203">
        <v>240600</v>
      </c>
      <c r="N15" s="245" t="s">
        <v>557</v>
      </c>
      <c r="O15" s="206" t="s">
        <v>567</v>
      </c>
      <c r="P15" s="245" t="s">
        <v>551</v>
      </c>
      <c r="Q15" s="288" t="s">
        <v>559</v>
      </c>
      <c r="R15">
        <v>1</v>
      </c>
    </row>
    <row r="16" spans="2:22" x14ac:dyDescent="0.2">
      <c r="B16" t="s">
        <v>93</v>
      </c>
      <c r="C16">
        <v>905742</v>
      </c>
      <c r="D16" s="102">
        <v>0</v>
      </c>
      <c r="E16" s="176">
        <v>0</v>
      </c>
      <c r="F16" s="176">
        <v>0</v>
      </c>
      <c r="G16" s="40">
        <v>1</v>
      </c>
      <c r="H16" s="40">
        <v>1</v>
      </c>
      <c r="I16" s="40"/>
      <c r="J16" s="96"/>
      <c r="L16" s="257" t="s">
        <v>93</v>
      </c>
      <c r="M16" s="203">
        <v>905742</v>
      </c>
      <c r="N16" s="251" t="s">
        <v>551</v>
      </c>
      <c r="O16" s="206" t="s">
        <v>568</v>
      </c>
      <c r="P16" s="245"/>
      <c r="Q16" s="272"/>
      <c r="R16">
        <v>1</v>
      </c>
    </row>
    <row r="17" spans="2:18" x14ac:dyDescent="0.2">
      <c r="B17" s="44" t="s">
        <v>94</v>
      </c>
      <c r="C17">
        <v>187767</v>
      </c>
      <c r="D17" s="102">
        <v>0</v>
      </c>
      <c r="E17" s="40">
        <v>0</v>
      </c>
      <c r="F17" s="176">
        <v>0</v>
      </c>
      <c r="G17" s="40">
        <v>1</v>
      </c>
      <c r="H17" s="176">
        <v>0</v>
      </c>
      <c r="I17" s="40"/>
      <c r="J17" s="96"/>
      <c r="L17" s="256" t="s">
        <v>94</v>
      </c>
      <c r="M17" s="203">
        <v>187767</v>
      </c>
      <c r="N17" s="245" t="s">
        <v>548</v>
      </c>
      <c r="O17" s="204"/>
      <c r="P17" s="245"/>
      <c r="Q17" s="272"/>
      <c r="R17">
        <v>1</v>
      </c>
    </row>
    <row r="18" spans="2:18" x14ac:dyDescent="0.2">
      <c r="B18" s="44" t="s">
        <v>95</v>
      </c>
      <c r="C18">
        <v>533201</v>
      </c>
      <c r="D18" s="102">
        <v>0</v>
      </c>
      <c r="E18" s="40">
        <v>1</v>
      </c>
      <c r="F18" s="176">
        <v>0</v>
      </c>
      <c r="G18" s="40">
        <v>1</v>
      </c>
      <c r="H18" s="40">
        <v>0</v>
      </c>
      <c r="I18" s="40"/>
      <c r="J18" s="96"/>
      <c r="L18" s="256" t="s">
        <v>95</v>
      </c>
      <c r="M18" s="203">
        <v>533201</v>
      </c>
      <c r="N18" s="251" t="s">
        <v>564</v>
      </c>
      <c r="O18" s="204" t="s">
        <v>569</v>
      </c>
      <c r="P18" s="246"/>
      <c r="Q18" s="272"/>
      <c r="R18">
        <v>1</v>
      </c>
    </row>
    <row r="19" spans="2:18" x14ac:dyDescent="0.2">
      <c r="B19" s="44" t="s">
        <v>96</v>
      </c>
      <c r="C19">
        <v>764333</v>
      </c>
      <c r="D19" s="102">
        <v>0</v>
      </c>
      <c r="E19" s="40">
        <v>1</v>
      </c>
      <c r="F19" s="176">
        <v>0</v>
      </c>
      <c r="G19" s="40">
        <v>1</v>
      </c>
      <c r="H19" s="40">
        <v>0</v>
      </c>
      <c r="I19" s="40"/>
      <c r="J19" s="96"/>
      <c r="L19" s="256" t="s">
        <v>96</v>
      </c>
      <c r="M19" s="203">
        <v>764333</v>
      </c>
      <c r="N19" s="246" t="s">
        <v>549</v>
      </c>
      <c r="O19" s="203"/>
      <c r="P19" s="252"/>
      <c r="Q19" s="272"/>
      <c r="R19">
        <v>4</v>
      </c>
    </row>
    <row r="20" spans="2:18" x14ac:dyDescent="0.2">
      <c r="B20" s="44" t="s">
        <v>97</v>
      </c>
      <c r="C20">
        <v>450504</v>
      </c>
      <c r="D20" s="102">
        <v>0</v>
      </c>
      <c r="E20" s="176">
        <v>0</v>
      </c>
      <c r="F20" s="176">
        <v>0</v>
      </c>
      <c r="G20" s="40">
        <v>1</v>
      </c>
      <c r="H20" s="176">
        <v>0</v>
      </c>
      <c r="I20" s="40"/>
      <c r="J20" s="96"/>
      <c r="L20" s="258" t="s">
        <v>97</v>
      </c>
      <c r="M20" s="208">
        <v>450504</v>
      </c>
      <c r="N20" s="254" t="s">
        <v>549</v>
      </c>
      <c r="O20" s="208"/>
      <c r="P20" s="253"/>
      <c r="Q20" s="289"/>
      <c r="R20">
        <v>4</v>
      </c>
    </row>
    <row r="21" spans="2:18" x14ac:dyDescent="0.2">
      <c r="B21" s="44" t="s">
        <v>98</v>
      </c>
      <c r="C21">
        <v>569117</v>
      </c>
      <c r="D21" s="102">
        <v>0</v>
      </c>
      <c r="E21" s="176">
        <v>0</v>
      </c>
      <c r="F21" s="176">
        <v>0</v>
      </c>
      <c r="G21" s="40">
        <v>1</v>
      </c>
      <c r="H21" s="176">
        <v>0</v>
      </c>
      <c r="I21" s="40"/>
      <c r="J21" s="96"/>
      <c r="L21" s="200" t="s">
        <v>98</v>
      </c>
      <c r="M21">
        <v>569117</v>
      </c>
      <c r="N21" s="248" t="s">
        <v>549</v>
      </c>
      <c r="P21" s="195"/>
      <c r="Q21" s="290"/>
      <c r="R21">
        <v>4</v>
      </c>
    </row>
    <row r="22" spans="2:18" x14ac:dyDescent="0.2">
      <c r="B22" s="44" t="s">
        <v>99</v>
      </c>
      <c r="C22">
        <v>107811</v>
      </c>
      <c r="D22" s="102">
        <v>0</v>
      </c>
      <c r="E22" s="176">
        <v>0</v>
      </c>
      <c r="F22" s="176">
        <v>0</v>
      </c>
      <c r="G22" s="40">
        <v>1</v>
      </c>
      <c r="H22" s="176">
        <v>0</v>
      </c>
      <c r="I22" s="40"/>
      <c r="J22" s="96"/>
      <c r="L22" s="200" t="s">
        <v>99</v>
      </c>
      <c r="M22">
        <v>107811</v>
      </c>
      <c r="N22" s="248" t="s">
        <v>549</v>
      </c>
      <c r="P22" s="195"/>
      <c r="R22">
        <v>4</v>
      </c>
    </row>
    <row r="23" spans="2:18" x14ac:dyDescent="0.2">
      <c r="B23" s="44" t="s">
        <v>100</v>
      </c>
      <c r="C23">
        <v>305363</v>
      </c>
      <c r="D23" s="102">
        <v>0</v>
      </c>
      <c r="E23" s="174">
        <v>1</v>
      </c>
      <c r="F23" s="174">
        <v>1</v>
      </c>
      <c r="G23" s="174">
        <v>0</v>
      </c>
      <c r="H23" s="174">
        <v>0</v>
      </c>
      <c r="I23" s="40"/>
      <c r="J23" s="96"/>
      <c r="L23" s="200" t="s">
        <v>100</v>
      </c>
      <c r="M23">
        <v>305363</v>
      </c>
      <c r="N23" s="248" t="s">
        <v>549</v>
      </c>
      <c r="P23" s="195"/>
      <c r="R23">
        <v>4</v>
      </c>
    </row>
    <row r="24" spans="2:18" x14ac:dyDescent="0.2">
      <c r="B24" s="44" t="s">
        <v>101</v>
      </c>
      <c r="C24">
        <v>821340</v>
      </c>
      <c r="D24" s="102">
        <v>0</v>
      </c>
      <c r="E24" s="174">
        <v>1</v>
      </c>
      <c r="F24" s="174">
        <v>1</v>
      </c>
      <c r="G24" s="174">
        <v>1</v>
      </c>
      <c r="H24" s="174">
        <v>0</v>
      </c>
      <c r="I24" s="40"/>
      <c r="J24" s="96"/>
      <c r="L24" s="200" t="s">
        <v>101</v>
      </c>
      <c r="M24">
        <v>821340</v>
      </c>
      <c r="N24" s="248" t="s">
        <v>549</v>
      </c>
      <c r="P24" s="195"/>
      <c r="R24">
        <v>4</v>
      </c>
    </row>
    <row r="25" spans="2:18" x14ac:dyDescent="0.2">
      <c r="B25" s="44" t="s">
        <v>102</v>
      </c>
      <c r="C25">
        <v>858247</v>
      </c>
      <c r="D25" s="102">
        <v>0</v>
      </c>
      <c r="E25" s="175">
        <v>1</v>
      </c>
      <c r="F25" s="175">
        <v>1</v>
      </c>
      <c r="G25" s="174">
        <v>0</v>
      </c>
      <c r="H25" s="175">
        <v>0</v>
      </c>
      <c r="J25" s="96"/>
      <c r="L25" s="200" t="s">
        <v>102</v>
      </c>
      <c r="M25">
        <v>858247</v>
      </c>
      <c r="N25" s="248" t="s">
        <v>549</v>
      </c>
      <c r="P25" s="195"/>
      <c r="R25">
        <v>4</v>
      </c>
    </row>
    <row r="26" spans="2:18" x14ac:dyDescent="0.2">
      <c r="B26" s="44" t="s">
        <v>103</v>
      </c>
      <c r="C26">
        <v>454050</v>
      </c>
      <c r="D26" s="102">
        <v>0</v>
      </c>
      <c r="E26" s="175">
        <v>1</v>
      </c>
      <c r="F26" s="175">
        <v>1</v>
      </c>
      <c r="G26" s="174">
        <v>1</v>
      </c>
      <c r="H26" s="175">
        <v>0</v>
      </c>
      <c r="J26" s="96"/>
      <c r="L26" s="242" t="s">
        <v>103</v>
      </c>
      <c r="M26">
        <v>454050</v>
      </c>
      <c r="N26" t="s">
        <v>570</v>
      </c>
      <c r="O26" t="s">
        <v>571</v>
      </c>
      <c r="P26" s="195"/>
      <c r="R26">
        <v>4</v>
      </c>
    </row>
    <row r="27" spans="2:18" x14ac:dyDescent="0.2">
      <c r="B27" s="44" t="s">
        <v>104</v>
      </c>
      <c r="C27">
        <v>888989</v>
      </c>
      <c r="D27" s="102">
        <v>0</v>
      </c>
      <c r="E27" s="175">
        <v>1</v>
      </c>
      <c r="F27" s="175">
        <v>1</v>
      </c>
      <c r="G27" s="174">
        <v>0</v>
      </c>
      <c r="H27" s="175">
        <v>0</v>
      </c>
      <c r="J27" s="96"/>
      <c r="L27" s="242" t="s">
        <v>104</v>
      </c>
      <c r="M27">
        <v>888989</v>
      </c>
      <c r="N27" s="248" t="s">
        <v>572</v>
      </c>
      <c r="P27" s="195"/>
      <c r="R27">
        <v>4</v>
      </c>
    </row>
    <row r="28" spans="2:18" x14ac:dyDescent="0.2">
      <c r="B28" s="44" t="s">
        <v>105</v>
      </c>
      <c r="C28">
        <v>131577</v>
      </c>
      <c r="D28" s="102">
        <v>0</v>
      </c>
      <c r="E28" s="175">
        <v>0</v>
      </c>
      <c r="F28" s="175">
        <v>0</v>
      </c>
      <c r="G28" s="174">
        <v>1</v>
      </c>
      <c r="H28" s="175">
        <v>1</v>
      </c>
      <c r="J28" s="96"/>
      <c r="L28" s="242" t="s">
        <v>105</v>
      </c>
      <c r="M28">
        <v>131577</v>
      </c>
      <c r="N28" s="248" t="s">
        <v>549</v>
      </c>
      <c r="P28" s="195"/>
      <c r="R28">
        <v>4</v>
      </c>
    </row>
    <row r="29" spans="2:18" x14ac:dyDescent="0.2">
      <c r="B29" s="44" t="s">
        <v>106</v>
      </c>
      <c r="C29">
        <v>830521</v>
      </c>
      <c r="D29" s="102">
        <v>0</v>
      </c>
      <c r="E29" s="175">
        <v>1</v>
      </c>
      <c r="F29" s="175">
        <v>1</v>
      </c>
      <c r="G29" s="174">
        <v>0</v>
      </c>
      <c r="H29" s="175">
        <v>0</v>
      </c>
      <c r="J29" s="96"/>
      <c r="L29" s="242" t="s">
        <v>106</v>
      </c>
      <c r="M29" s="302">
        <v>830521</v>
      </c>
      <c r="N29" s="195"/>
      <c r="O29" s="195"/>
      <c r="P29" s="195"/>
      <c r="Q29" s="195"/>
    </row>
    <row r="30" spans="2:18" x14ac:dyDescent="0.2">
      <c r="J30" s="96"/>
      <c r="L30" s="242" t="s">
        <v>107</v>
      </c>
      <c r="M30">
        <v>927692</v>
      </c>
      <c r="N30" s="195"/>
      <c r="O30" s="195"/>
      <c r="P30" s="195"/>
      <c r="Q30" s="195"/>
    </row>
    <row r="31" spans="2:18" x14ac:dyDescent="0.2">
      <c r="C31" s="20" t="s">
        <v>309</v>
      </c>
      <c r="D31" s="1">
        <f>COUNTIF(D5:D29,1)</f>
        <v>0</v>
      </c>
      <c r="E31" s="1">
        <f t="shared" ref="E31:H31" si="0">COUNTIF(E5:E29,1)</f>
        <v>14</v>
      </c>
      <c r="F31" s="1">
        <f t="shared" si="0"/>
        <v>11</v>
      </c>
      <c r="G31" s="1">
        <f t="shared" si="0"/>
        <v>18</v>
      </c>
      <c r="H31" s="1">
        <f t="shared" si="0"/>
        <v>5</v>
      </c>
      <c r="I31" s="1"/>
      <c r="J31" s="96"/>
      <c r="L31" s="242"/>
    </row>
    <row r="32" spans="2:18" x14ac:dyDescent="0.2">
      <c r="B32" t="s">
        <v>573</v>
      </c>
      <c r="J32" s="96"/>
    </row>
    <row r="33" spans="2:22" x14ac:dyDescent="0.2">
      <c r="B33" s="20" t="s">
        <v>574</v>
      </c>
      <c r="C33">
        <f>COUNT(C5:C29)</f>
        <v>25</v>
      </c>
      <c r="J33" s="96"/>
    </row>
    <row r="34" spans="2:22" x14ac:dyDescent="0.2">
      <c r="J34" s="96"/>
    </row>
    <row r="35" spans="2:22" x14ac:dyDescent="0.2">
      <c r="J35" s="96"/>
    </row>
    <row r="36" spans="2:22" x14ac:dyDescent="0.2">
      <c r="J36" s="96"/>
    </row>
    <row r="37" spans="2:22" x14ac:dyDescent="0.2">
      <c r="C37" s="1"/>
      <c r="D37" s="435" t="s">
        <v>109</v>
      </c>
      <c r="E37" s="435"/>
      <c r="F37" s="435"/>
      <c r="G37" s="435"/>
      <c r="H37" s="435"/>
      <c r="J37" s="96"/>
    </row>
    <row r="38" spans="2:22" x14ac:dyDescent="0.2">
      <c r="B38" t="s">
        <v>82</v>
      </c>
      <c r="C38" t="s">
        <v>108</v>
      </c>
      <c r="D38" s="1" t="s">
        <v>9</v>
      </c>
      <c r="E38" s="1" t="s">
        <v>13</v>
      </c>
      <c r="F38" s="1" t="s">
        <v>10</v>
      </c>
      <c r="G38" s="1" t="s">
        <v>11</v>
      </c>
      <c r="H38" s="1" t="s">
        <v>12</v>
      </c>
      <c r="J38" s="96"/>
      <c r="L38" s="197" t="s">
        <v>82</v>
      </c>
      <c r="M38" s="198" t="s">
        <v>108</v>
      </c>
      <c r="N38" s="198" t="s">
        <v>546</v>
      </c>
      <c r="O38" s="198" t="s">
        <v>37</v>
      </c>
      <c r="P38" s="198" t="s">
        <v>547</v>
      </c>
      <c r="Q38" s="199" t="s">
        <v>37</v>
      </c>
    </row>
    <row r="39" spans="2:22" x14ac:dyDescent="0.2">
      <c r="B39" s="44" t="s">
        <v>130</v>
      </c>
      <c r="C39">
        <v>617834</v>
      </c>
      <c r="D39" s="102">
        <v>1</v>
      </c>
      <c r="E39" s="101">
        <v>0</v>
      </c>
      <c r="F39" s="101">
        <v>0</v>
      </c>
      <c r="G39" s="101">
        <v>0</v>
      </c>
      <c r="H39" s="101">
        <v>0</v>
      </c>
      <c r="J39" s="96"/>
      <c r="L39" s="200" t="s">
        <v>130</v>
      </c>
      <c r="M39">
        <v>617834</v>
      </c>
      <c r="N39" s="273" t="s">
        <v>557</v>
      </c>
      <c r="O39" s="196" t="s">
        <v>575</v>
      </c>
      <c r="P39" s="284"/>
      <c r="Q39" s="290"/>
      <c r="R39">
        <v>2</v>
      </c>
      <c r="S39" s="212" t="s">
        <v>150</v>
      </c>
      <c r="U39" s="20" t="s">
        <v>550</v>
      </c>
    </row>
    <row r="40" spans="2:22" x14ac:dyDescent="0.2">
      <c r="B40" s="44" t="s">
        <v>148</v>
      </c>
      <c r="C40">
        <v>991031</v>
      </c>
      <c r="D40" s="102">
        <v>1</v>
      </c>
      <c r="E40" s="101">
        <v>0</v>
      </c>
      <c r="F40" s="101">
        <v>0</v>
      </c>
      <c r="G40" s="101">
        <v>0</v>
      </c>
      <c r="H40" s="101">
        <v>0</v>
      </c>
      <c r="J40" s="96"/>
      <c r="L40" s="259" t="s">
        <v>148</v>
      </c>
      <c r="M40" s="209">
        <v>991031</v>
      </c>
      <c r="N40" s="274" t="s">
        <v>557</v>
      </c>
      <c r="O40" s="210" t="s">
        <v>575</v>
      </c>
      <c r="P40" s="285"/>
      <c r="Q40" s="291"/>
      <c r="R40">
        <v>2</v>
      </c>
      <c r="S40" s="212" t="s">
        <v>151</v>
      </c>
      <c r="U40" s="248"/>
      <c r="V40" t="s">
        <v>553</v>
      </c>
    </row>
    <row r="41" spans="2:22" x14ac:dyDescent="0.2">
      <c r="B41" s="44" t="s">
        <v>149</v>
      </c>
      <c r="C41">
        <v>129059</v>
      </c>
      <c r="D41" s="102">
        <v>1</v>
      </c>
      <c r="E41" s="101">
        <v>0</v>
      </c>
      <c r="F41" s="101">
        <v>0</v>
      </c>
      <c r="G41" s="101">
        <v>0</v>
      </c>
      <c r="H41" s="101">
        <v>0</v>
      </c>
      <c r="J41" s="96"/>
      <c r="L41" s="256" t="s">
        <v>149</v>
      </c>
      <c r="M41" s="203">
        <v>129059</v>
      </c>
      <c r="N41" s="251" t="s">
        <v>551</v>
      </c>
      <c r="O41" s="204" t="s">
        <v>576</v>
      </c>
      <c r="P41" s="283"/>
      <c r="Q41" s="272"/>
      <c r="R41">
        <v>2</v>
      </c>
      <c r="S41" s="212" t="s">
        <v>153</v>
      </c>
      <c r="U41" s="46"/>
      <c r="V41" t="s">
        <v>555</v>
      </c>
    </row>
    <row r="42" spans="2:22" x14ac:dyDescent="0.2">
      <c r="B42" s="44" t="s">
        <v>150</v>
      </c>
      <c r="C42">
        <v>99810</v>
      </c>
      <c r="D42" s="102">
        <v>1</v>
      </c>
      <c r="E42" s="101">
        <v>0</v>
      </c>
      <c r="F42" s="101">
        <v>0</v>
      </c>
      <c r="G42" s="101">
        <v>0</v>
      </c>
      <c r="H42" s="101">
        <v>0</v>
      </c>
      <c r="J42" s="96"/>
      <c r="L42" s="256" t="s">
        <v>150</v>
      </c>
      <c r="M42" s="203">
        <v>99810</v>
      </c>
      <c r="N42" s="245" t="s">
        <v>557</v>
      </c>
      <c r="O42" s="204"/>
      <c r="P42" s="283"/>
      <c r="Q42" s="272"/>
      <c r="R42">
        <v>2</v>
      </c>
      <c r="S42" s="215" t="s">
        <v>160</v>
      </c>
      <c r="U42" s="249"/>
      <c r="V42" t="s">
        <v>556</v>
      </c>
    </row>
    <row r="43" spans="2:22" x14ac:dyDescent="0.2">
      <c r="B43" s="44" t="s">
        <v>151</v>
      </c>
      <c r="C43">
        <v>184632</v>
      </c>
      <c r="D43" s="102">
        <v>1</v>
      </c>
      <c r="E43" s="101">
        <v>0</v>
      </c>
      <c r="F43" s="101">
        <v>0</v>
      </c>
      <c r="G43" s="101">
        <v>0</v>
      </c>
      <c r="H43" s="101">
        <v>0</v>
      </c>
      <c r="J43" s="96"/>
      <c r="L43" s="256" t="s">
        <v>151</v>
      </c>
      <c r="M43" s="203">
        <v>184632</v>
      </c>
      <c r="N43" s="245" t="s">
        <v>549</v>
      </c>
      <c r="O43" s="204"/>
      <c r="P43" s="245"/>
      <c r="Q43" s="272"/>
      <c r="R43">
        <v>1</v>
      </c>
      <c r="S43" s="222" t="s">
        <v>161</v>
      </c>
      <c r="U43" s="250"/>
      <c r="V43" t="s">
        <v>560</v>
      </c>
    </row>
    <row r="44" spans="2:22" x14ac:dyDescent="0.2">
      <c r="B44" s="44" t="s">
        <v>152</v>
      </c>
      <c r="C44">
        <v>488218</v>
      </c>
      <c r="D44" s="102">
        <v>1</v>
      </c>
      <c r="E44" s="101">
        <v>0</v>
      </c>
      <c r="F44" s="101">
        <v>0</v>
      </c>
      <c r="G44" s="101">
        <v>0</v>
      </c>
      <c r="H44" s="101">
        <v>0</v>
      </c>
      <c r="J44" s="96"/>
      <c r="L44" s="256" t="s">
        <v>152</v>
      </c>
      <c r="M44" s="203">
        <v>488218</v>
      </c>
      <c r="N44" s="245" t="s">
        <v>549</v>
      </c>
      <c r="O44" s="204" t="s">
        <v>577</v>
      </c>
      <c r="P44" s="246" t="s">
        <v>551</v>
      </c>
      <c r="Q44" s="287" t="s">
        <v>559</v>
      </c>
      <c r="R44">
        <v>1</v>
      </c>
      <c r="U44" s="195"/>
      <c r="V44" t="s">
        <v>561</v>
      </c>
    </row>
    <row r="45" spans="2:22" x14ac:dyDescent="0.2">
      <c r="B45" s="44" t="s">
        <v>136</v>
      </c>
      <c r="C45">
        <v>928855</v>
      </c>
      <c r="D45" s="102">
        <v>1</v>
      </c>
      <c r="E45" s="101">
        <v>0</v>
      </c>
      <c r="F45" s="101">
        <v>0</v>
      </c>
      <c r="G45" s="101">
        <v>0</v>
      </c>
      <c r="H45" s="101">
        <v>0</v>
      </c>
      <c r="J45" s="96"/>
      <c r="L45" s="256" t="s">
        <v>136</v>
      </c>
      <c r="M45" s="203">
        <v>928855</v>
      </c>
      <c r="N45" s="275" t="s">
        <v>578</v>
      </c>
      <c r="O45" s="204" t="s">
        <v>579</v>
      </c>
      <c r="P45" s="246" t="s">
        <v>551</v>
      </c>
      <c r="Q45" s="287" t="s">
        <v>559</v>
      </c>
      <c r="R45">
        <v>1</v>
      </c>
      <c r="U45" s="75"/>
      <c r="V45" t="s">
        <v>563</v>
      </c>
    </row>
    <row r="46" spans="2:22" x14ac:dyDescent="0.2">
      <c r="B46" s="44" t="s">
        <v>153</v>
      </c>
      <c r="C46">
        <v>375578</v>
      </c>
      <c r="D46" s="102">
        <v>1</v>
      </c>
      <c r="E46" s="101">
        <v>0</v>
      </c>
      <c r="F46" s="101">
        <v>0</v>
      </c>
      <c r="G46" s="101">
        <v>0</v>
      </c>
      <c r="H46" s="101">
        <v>0</v>
      </c>
      <c r="J46" s="96"/>
      <c r="L46" s="256" t="s">
        <v>153</v>
      </c>
      <c r="M46" s="203">
        <v>375578</v>
      </c>
      <c r="N46" s="245" t="s">
        <v>548</v>
      </c>
      <c r="O46" s="204"/>
      <c r="P46" s="245"/>
      <c r="Q46" s="272"/>
      <c r="R46">
        <v>1</v>
      </c>
    </row>
    <row r="47" spans="2:22" x14ac:dyDescent="0.2">
      <c r="B47" s="44" t="s">
        <v>154</v>
      </c>
      <c r="C47">
        <v>90664</v>
      </c>
      <c r="D47" s="102">
        <v>1</v>
      </c>
      <c r="E47" s="101">
        <v>0</v>
      </c>
      <c r="F47" s="101">
        <v>0</v>
      </c>
      <c r="G47" s="101">
        <v>0</v>
      </c>
      <c r="H47" s="101">
        <v>0</v>
      </c>
      <c r="J47" s="96"/>
      <c r="L47" s="256" t="s">
        <v>154</v>
      </c>
      <c r="M47" s="203">
        <v>90664</v>
      </c>
      <c r="N47" s="251" t="s">
        <v>551</v>
      </c>
      <c r="O47" s="204" t="s">
        <v>580</v>
      </c>
      <c r="P47" s="245"/>
      <c r="Q47" s="272"/>
      <c r="R47">
        <v>1</v>
      </c>
    </row>
    <row r="48" spans="2:22" x14ac:dyDescent="0.2">
      <c r="B48" s="44" t="s">
        <v>155</v>
      </c>
      <c r="C48">
        <v>401748</v>
      </c>
      <c r="D48" s="102">
        <v>1</v>
      </c>
      <c r="E48" s="101">
        <v>0</v>
      </c>
      <c r="F48" s="101">
        <v>0</v>
      </c>
      <c r="G48" s="101">
        <v>0</v>
      </c>
      <c r="H48" s="101">
        <v>0</v>
      </c>
      <c r="J48" s="96"/>
      <c r="L48" s="256" t="s">
        <v>155</v>
      </c>
      <c r="M48" s="203">
        <v>401748</v>
      </c>
      <c r="N48" s="275" t="s">
        <v>564</v>
      </c>
      <c r="O48" s="204"/>
      <c r="P48" s="245"/>
      <c r="Q48" s="272"/>
      <c r="R48">
        <v>1</v>
      </c>
    </row>
    <row r="49" spans="2:18" x14ac:dyDescent="0.2">
      <c r="B49" s="44" t="s">
        <v>156</v>
      </c>
      <c r="C49">
        <v>173309</v>
      </c>
      <c r="D49" s="102">
        <v>1</v>
      </c>
      <c r="E49" s="101">
        <v>0</v>
      </c>
      <c r="F49" s="101">
        <v>0</v>
      </c>
      <c r="G49" s="101">
        <v>0</v>
      </c>
      <c r="H49" s="101">
        <v>0</v>
      </c>
      <c r="J49" s="96"/>
      <c r="L49" s="256" t="s">
        <v>156</v>
      </c>
      <c r="M49" s="203">
        <v>173309</v>
      </c>
      <c r="N49" s="251" t="s">
        <v>551</v>
      </c>
      <c r="O49" s="204" t="s">
        <v>580</v>
      </c>
      <c r="P49" s="245"/>
      <c r="Q49" s="272"/>
      <c r="R49">
        <v>1</v>
      </c>
    </row>
    <row r="50" spans="2:18" x14ac:dyDescent="0.2">
      <c r="B50" s="44" t="s">
        <v>157</v>
      </c>
      <c r="C50">
        <v>209273</v>
      </c>
      <c r="D50" s="102">
        <v>1</v>
      </c>
      <c r="E50" s="101">
        <v>0</v>
      </c>
      <c r="F50" s="101">
        <v>0</v>
      </c>
      <c r="G50" s="101">
        <v>0</v>
      </c>
      <c r="H50" s="101">
        <v>0</v>
      </c>
      <c r="J50" s="96"/>
      <c r="L50" s="256" t="s">
        <v>157</v>
      </c>
      <c r="M50" s="203">
        <v>209273</v>
      </c>
      <c r="N50" s="251" t="s">
        <v>551</v>
      </c>
      <c r="O50" s="204" t="s">
        <v>581</v>
      </c>
      <c r="P50" s="245" t="s">
        <v>582</v>
      </c>
      <c r="Q50" s="272"/>
      <c r="R50">
        <v>1</v>
      </c>
    </row>
    <row r="51" spans="2:18" x14ac:dyDescent="0.2">
      <c r="B51" s="44" t="s">
        <v>225</v>
      </c>
      <c r="C51">
        <v>237361</v>
      </c>
      <c r="D51" s="102">
        <v>1</v>
      </c>
      <c r="E51" s="101">
        <v>0</v>
      </c>
      <c r="F51" s="101">
        <v>0</v>
      </c>
      <c r="G51" s="101">
        <v>0</v>
      </c>
      <c r="H51" s="101">
        <v>0</v>
      </c>
      <c r="J51" s="96"/>
      <c r="L51" s="256" t="s">
        <v>225</v>
      </c>
      <c r="M51" s="203">
        <v>237361</v>
      </c>
      <c r="N51" s="251" t="s">
        <v>551</v>
      </c>
      <c r="O51" s="204" t="s">
        <v>580</v>
      </c>
      <c r="P51" s="245"/>
      <c r="Q51" s="272"/>
      <c r="R51">
        <v>1</v>
      </c>
    </row>
    <row r="52" spans="2:18" x14ac:dyDescent="0.2">
      <c r="B52" s="44" t="s">
        <v>159</v>
      </c>
      <c r="C52">
        <v>540007</v>
      </c>
      <c r="D52" s="102">
        <v>1</v>
      </c>
      <c r="E52" s="101">
        <v>0</v>
      </c>
      <c r="F52" s="101">
        <v>0</v>
      </c>
      <c r="G52" s="101">
        <v>0</v>
      </c>
      <c r="H52" s="101">
        <v>0</v>
      </c>
      <c r="J52" s="96"/>
      <c r="L52" s="256" t="s">
        <v>159</v>
      </c>
      <c r="M52" s="203">
        <v>540007</v>
      </c>
      <c r="N52" s="251" t="s">
        <v>551</v>
      </c>
      <c r="O52" s="204" t="s">
        <v>580</v>
      </c>
      <c r="P52" s="246"/>
      <c r="Q52" s="272"/>
      <c r="R52">
        <v>1</v>
      </c>
    </row>
    <row r="53" spans="2:18" x14ac:dyDescent="0.2">
      <c r="B53" t="s">
        <v>160</v>
      </c>
      <c r="C53">
        <v>64839</v>
      </c>
      <c r="D53" s="102">
        <v>1</v>
      </c>
      <c r="E53" s="101">
        <v>0</v>
      </c>
      <c r="F53" s="101">
        <v>0</v>
      </c>
      <c r="G53" s="101">
        <v>0</v>
      </c>
      <c r="H53" s="101">
        <v>0</v>
      </c>
      <c r="J53" s="96"/>
      <c r="L53" s="257" t="s">
        <v>160</v>
      </c>
      <c r="M53" s="203">
        <v>64839</v>
      </c>
      <c r="N53" s="246" t="s">
        <v>549</v>
      </c>
      <c r="O53" s="203"/>
      <c r="P53" s="252"/>
      <c r="Q53" s="272"/>
      <c r="R53">
        <v>4</v>
      </c>
    </row>
    <row r="54" spans="2:18" x14ac:dyDescent="0.2">
      <c r="B54" s="44" t="s">
        <v>161</v>
      </c>
      <c r="C54">
        <v>392487</v>
      </c>
      <c r="D54" s="102">
        <v>1</v>
      </c>
      <c r="E54" s="101">
        <v>0</v>
      </c>
      <c r="F54" s="101">
        <v>0</v>
      </c>
      <c r="G54" s="101">
        <v>0</v>
      </c>
      <c r="H54" s="101">
        <v>0</v>
      </c>
      <c r="J54" s="96"/>
      <c r="L54" s="260" t="s">
        <v>161</v>
      </c>
      <c r="M54" s="241">
        <v>392487</v>
      </c>
      <c r="N54" s="247" t="s">
        <v>549</v>
      </c>
      <c r="O54" s="241"/>
      <c r="P54" s="261"/>
      <c r="Q54" s="292"/>
      <c r="R54">
        <v>4</v>
      </c>
    </row>
    <row r="55" spans="2:18" x14ac:dyDescent="0.2">
      <c r="B55" s="44" t="s">
        <v>162</v>
      </c>
      <c r="C55">
        <v>750492</v>
      </c>
      <c r="D55" s="102">
        <v>1</v>
      </c>
      <c r="E55" s="101">
        <v>0</v>
      </c>
      <c r="F55" s="101">
        <v>0</v>
      </c>
      <c r="G55" s="101">
        <v>0</v>
      </c>
      <c r="H55" s="101">
        <v>0</v>
      </c>
      <c r="J55" s="96"/>
      <c r="L55" s="200" t="s">
        <v>162</v>
      </c>
      <c r="M55">
        <v>750492</v>
      </c>
      <c r="N55" s="247" t="s">
        <v>549</v>
      </c>
      <c r="P55" s="195"/>
      <c r="R55">
        <v>4</v>
      </c>
    </row>
    <row r="56" spans="2:18" x14ac:dyDescent="0.2">
      <c r="B56" s="44" t="s">
        <v>163</v>
      </c>
      <c r="C56">
        <v>307951</v>
      </c>
      <c r="D56" s="102">
        <v>1</v>
      </c>
      <c r="E56" s="101">
        <v>0</v>
      </c>
      <c r="F56" s="101">
        <v>0</v>
      </c>
      <c r="G56" s="101">
        <v>0</v>
      </c>
      <c r="H56" s="101">
        <v>0</v>
      </c>
      <c r="J56" s="96"/>
      <c r="L56" s="200" t="s">
        <v>163</v>
      </c>
      <c r="M56">
        <v>307951</v>
      </c>
      <c r="N56" s="247" t="s">
        <v>549</v>
      </c>
      <c r="P56" s="46" t="s">
        <v>583</v>
      </c>
      <c r="R56">
        <v>3</v>
      </c>
    </row>
    <row r="57" spans="2:18" x14ac:dyDescent="0.2">
      <c r="B57" s="44"/>
      <c r="C57" s="102"/>
      <c r="D57" s="102"/>
      <c r="E57" s="101"/>
      <c r="F57" s="101"/>
      <c r="G57" s="101"/>
      <c r="H57" s="101"/>
      <c r="J57" s="96"/>
    </row>
    <row r="58" spans="2:18" x14ac:dyDescent="0.2">
      <c r="C58" s="1"/>
      <c r="D58" s="1"/>
      <c r="E58" s="1"/>
      <c r="F58" s="1"/>
      <c r="G58" s="1"/>
      <c r="H58" s="1"/>
      <c r="J58" s="96"/>
      <c r="L58" s="242"/>
    </row>
    <row r="59" spans="2:18" x14ac:dyDescent="0.2">
      <c r="C59" s="1" t="s">
        <v>309</v>
      </c>
      <c r="D59" s="1">
        <f>COUNTIF(D39:D56,1)</f>
        <v>18</v>
      </c>
      <c r="E59" s="1">
        <f t="shared" ref="E59:H59" si="1">COUNTIF(E39:E56,1)</f>
        <v>0</v>
      </c>
      <c r="F59" s="1">
        <f t="shared" si="1"/>
        <v>0</v>
      </c>
      <c r="G59" s="1">
        <f t="shared" si="1"/>
        <v>0</v>
      </c>
      <c r="H59" s="1">
        <f t="shared" si="1"/>
        <v>0</v>
      </c>
      <c r="J59" s="96"/>
    </row>
    <row r="60" spans="2:18" x14ac:dyDescent="0.2">
      <c r="J60" s="96"/>
    </row>
    <row r="61" spans="2:18" x14ac:dyDescent="0.2">
      <c r="B61" s="20" t="s">
        <v>584</v>
      </c>
      <c r="C61">
        <f>COUNT(C39:C56)</f>
        <v>18</v>
      </c>
    </row>
  </sheetData>
  <sortState xmlns:xlrd2="http://schemas.microsoft.com/office/spreadsheetml/2017/richdata2" ref="C5:H21">
    <sortCondition ref="C5:C21"/>
  </sortState>
  <mergeCells count="3">
    <mergeCell ref="D37:H37"/>
    <mergeCell ref="B2:H2"/>
    <mergeCell ref="M2:P2"/>
  </mergeCells>
  <conditionalFormatting sqref="N38:N56">
    <cfRule type="cellIs" dxfId="0" priority="1" operator="equal">
      <formula>"bad"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A84E9-43A4-3E40-AF8A-7A8C14F7960B}">
  <dimension ref="D3:AA54"/>
  <sheetViews>
    <sheetView zoomScale="60" zoomScaleNormal="60" workbookViewId="0">
      <selection activeCell="J23" sqref="J23"/>
    </sheetView>
  </sheetViews>
  <sheetFormatPr baseColWidth="10" defaultColWidth="11" defaultRowHeight="16" x14ac:dyDescent="0.2"/>
  <cols>
    <col min="6" max="6" width="13.83203125" customWidth="1"/>
    <col min="7" max="7" width="14.83203125" customWidth="1"/>
    <col min="9" max="9" width="18.33203125" customWidth="1"/>
    <col min="10" max="10" width="27" customWidth="1"/>
    <col min="11" max="11" width="28.83203125" customWidth="1"/>
    <col min="16" max="16" width="16.5" customWidth="1"/>
    <col min="17" max="17" width="28" customWidth="1"/>
    <col min="25" max="25" width="18.5" customWidth="1"/>
    <col min="26" max="26" width="25.5" customWidth="1"/>
    <col min="27" max="27" width="26.5" customWidth="1"/>
  </cols>
  <sheetData>
    <row r="3" spans="4:27" x14ac:dyDescent="0.2">
      <c r="F3" s="30" t="s">
        <v>585</v>
      </c>
      <c r="G3" s="30"/>
    </row>
    <row r="4" spans="4:27" ht="34" x14ac:dyDescent="0.2">
      <c r="D4" s="142" t="s">
        <v>586</v>
      </c>
      <c r="E4" s="142" t="s">
        <v>126</v>
      </c>
      <c r="F4" s="142" t="s">
        <v>587</v>
      </c>
      <c r="G4" s="142" t="s">
        <v>122</v>
      </c>
      <c r="H4" s="142" t="s">
        <v>125</v>
      </c>
      <c r="I4" s="142" t="s">
        <v>588</v>
      </c>
      <c r="J4" s="142" t="s">
        <v>589</v>
      </c>
      <c r="K4" s="142" t="s">
        <v>590</v>
      </c>
      <c r="P4" s="328" t="s">
        <v>591</v>
      </c>
      <c r="T4" s="178" t="s">
        <v>586</v>
      </c>
      <c r="U4" s="178" t="s">
        <v>126</v>
      </c>
      <c r="V4" s="178" t="s">
        <v>587</v>
      </c>
      <c r="W4" s="178" t="s">
        <v>122</v>
      </c>
      <c r="X4" s="178" t="s">
        <v>125</v>
      </c>
      <c r="Y4" s="178" t="s">
        <v>588</v>
      </c>
      <c r="Z4" s="178" t="s">
        <v>589</v>
      </c>
      <c r="AA4" s="178" t="s">
        <v>590</v>
      </c>
    </row>
    <row r="5" spans="4:27" ht="17" x14ac:dyDescent="0.2">
      <c r="D5" s="143" t="s">
        <v>56</v>
      </c>
      <c r="E5" s="144">
        <v>1</v>
      </c>
      <c r="F5" s="144">
        <v>3</v>
      </c>
      <c r="G5" s="163">
        <v>1</v>
      </c>
      <c r="H5" s="146">
        <v>1</v>
      </c>
      <c r="I5" s="147">
        <v>1</v>
      </c>
      <c r="J5" s="148" t="s">
        <v>592</v>
      </c>
      <c r="K5" s="148" t="s">
        <v>593</v>
      </c>
      <c r="P5" t="s">
        <v>478</v>
      </c>
      <c r="Q5" t="s">
        <v>479</v>
      </c>
      <c r="T5" s="179" t="s">
        <v>130</v>
      </c>
      <c r="U5" s="180">
        <v>0</v>
      </c>
      <c r="V5" s="180">
        <v>0</v>
      </c>
      <c r="W5" s="181">
        <v>0</v>
      </c>
      <c r="X5" s="180">
        <v>0</v>
      </c>
      <c r="Y5" s="182">
        <v>0</v>
      </c>
      <c r="Z5" s="183" t="s">
        <v>594</v>
      </c>
      <c r="AA5" s="183" t="s">
        <v>594</v>
      </c>
    </row>
    <row r="6" spans="4:27" ht="17" x14ac:dyDescent="0.2">
      <c r="D6" s="143" t="s">
        <v>83</v>
      </c>
      <c r="E6" s="146">
        <v>1</v>
      </c>
      <c r="F6" s="146">
        <v>0</v>
      </c>
      <c r="G6" s="146">
        <v>0</v>
      </c>
      <c r="H6" s="146">
        <v>1</v>
      </c>
      <c r="I6" s="149">
        <v>0</v>
      </c>
      <c r="J6" s="150" t="s">
        <v>594</v>
      </c>
      <c r="K6" s="150" t="s">
        <v>594</v>
      </c>
      <c r="P6" t="s">
        <v>490</v>
      </c>
      <c r="Q6" s="155" t="s">
        <v>491</v>
      </c>
      <c r="T6" s="179" t="s">
        <v>148</v>
      </c>
      <c r="U6" s="180">
        <v>0</v>
      </c>
      <c r="V6" s="180">
        <v>0</v>
      </c>
      <c r="W6" s="181">
        <v>0</v>
      </c>
      <c r="X6" s="180">
        <v>0</v>
      </c>
      <c r="Y6" s="182">
        <v>0</v>
      </c>
      <c r="Z6" s="183" t="s">
        <v>594</v>
      </c>
      <c r="AA6" s="183" t="s">
        <v>594</v>
      </c>
    </row>
    <row r="7" spans="4:27" ht="17" x14ac:dyDescent="0.2">
      <c r="D7" s="143" t="s">
        <v>84</v>
      </c>
      <c r="E7" s="144">
        <v>1</v>
      </c>
      <c r="F7" s="144">
        <v>2</v>
      </c>
      <c r="G7" s="144">
        <v>2</v>
      </c>
      <c r="H7" s="144">
        <v>4</v>
      </c>
      <c r="I7" s="151">
        <v>0</v>
      </c>
      <c r="J7" s="150" t="s">
        <v>594</v>
      </c>
      <c r="K7" s="150" t="s">
        <v>594</v>
      </c>
      <c r="P7" s="30" t="s">
        <v>501</v>
      </c>
      <c r="Q7" s="30" t="s">
        <v>502</v>
      </c>
      <c r="T7" s="179" t="s">
        <v>149</v>
      </c>
      <c r="U7" s="180">
        <v>0</v>
      </c>
      <c r="V7" s="180">
        <v>0</v>
      </c>
      <c r="W7" s="181">
        <v>0</v>
      </c>
      <c r="X7" s="180">
        <v>0</v>
      </c>
      <c r="Y7" s="182">
        <v>0</v>
      </c>
      <c r="Z7" s="183" t="s">
        <v>594</v>
      </c>
      <c r="AA7" s="183" t="s">
        <v>594</v>
      </c>
    </row>
    <row r="8" spans="4:27" ht="17" x14ac:dyDescent="0.2">
      <c r="D8" s="143" t="s">
        <v>85</v>
      </c>
      <c r="E8" s="146">
        <v>0</v>
      </c>
      <c r="F8" s="146">
        <v>0</v>
      </c>
      <c r="G8" s="163">
        <v>1</v>
      </c>
      <c r="H8" s="146">
        <v>1</v>
      </c>
      <c r="I8" s="144">
        <v>1</v>
      </c>
      <c r="J8" s="148" t="s">
        <v>595</v>
      </c>
      <c r="K8" s="148" t="s">
        <v>593</v>
      </c>
      <c r="P8" s="30" t="s">
        <v>510</v>
      </c>
      <c r="Q8" s="30" t="s">
        <v>511</v>
      </c>
      <c r="T8" s="179" t="s">
        <v>151</v>
      </c>
      <c r="U8" s="180">
        <v>0</v>
      </c>
      <c r="V8" s="180">
        <v>0</v>
      </c>
      <c r="W8" s="181">
        <v>0</v>
      </c>
      <c r="X8" s="184">
        <v>3</v>
      </c>
      <c r="Y8" s="180">
        <v>0</v>
      </c>
      <c r="Z8" s="183" t="s">
        <v>594</v>
      </c>
      <c r="AA8" s="183" t="s">
        <v>594</v>
      </c>
    </row>
    <row r="9" spans="4:27" ht="17" x14ac:dyDescent="0.2">
      <c r="D9" s="143" t="s">
        <v>86</v>
      </c>
      <c r="E9" s="144">
        <v>1</v>
      </c>
      <c r="F9" s="145">
        <v>1</v>
      </c>
      <c r="G9" s="145">
        <v>0</v>
      </c>
      <c r="H9" s="144">
        <v>4</v>
      </c>
      <c r="I9" s="149">
        <v>0</v>
      </c>
      <c r="J9" s="150" t="s">
        <v>594</v>
      </c>
      <c r="K9" s="152" t="s">
        <v>594</v>
      </c>
      <c r="P9" s="30" t="s">
        <v>517</v>
      </c>
      <c r="Q9" s="30" t="s">
        <v>518</v>
      </c>
      <c r="T9" s="179" t="s">
        <v>152</v>
      </c>
      <c r="U9" s="180">
        <v>0</v>
      </c>
      <c r="V9" s="180">
        <v>0</v>
      </c>
      <c r="W9" s="181">
        <v>0</v>
      </c>
      <c r="X9" s="180">
        <v>1</v>
      </c>
      <c r="Y9" s="180">
        <v>0</v>
      </c>
      <c r="Z9" s="183" t="s">
        <v>594</v>
      </c>
      <c r="AA9" s="183" t="s">
        <v>594</v>
      </c>
    </row>
    <row r="10" spans="4:27" ht="32" x14ac:dyDescent="0.2">
      <c r="D10" s="143" t="s">
        <v>87</v>
      </c>
      <c r="E10" s="145">
        <v>0</v>
      </c>
      <c r="F10" s="145">
        <v>0</v>
      </c>
      <c r="G10" s="145">
        <v>0</v>
      </c>
      <c r="H10" s="145">
        <v>0</v>
      </c>
      <c r="I10" s="149">
        <v>0</v>
      </c>
      <c r="J10" s="148" t="s">
        <v>596</v>
      </c>
      <c r="K10" s="148" t="s">
        <v>597</v>
      </c>
      <c r="P10" s="161" t="s">
        <v>525</v>
      </c>
      <c r="T10" s="179" t="s">
        <v>136</v>
      </c>
      <c r="U10" s="180">
        <v>0</v>
      </c>
      <c r="V10" s="180">
        <v>0</v>
      </c>
      <c r="W10" s="181">
        <v>0</v>
      </c>
      <c r="X10" s="180">
        <v>0</v>
      </c>
      <c r="Y10" s="180">
        <v>0</v>
      </c>
      <c r="Z10" s="183" t="s">
        <v>594</v>
      </c>
      <c r="AA10" s="183" t="s">
        <v>594</v>
      </c>
    </row>
    <row r="11" spans="4:27" ht="17" x14ac:dyDescent="0.2">
      <c r="D11" s="143" t="s">
        <v>88</v>
      </c>
      <c r="E11" s="144">
        <v>1</v>
      </c>
      <c r="F11" s="145">
        <v>1</v>
      </c>
      <c r="G11" s="145">
        <v>0</v>
      </c>
      <c r="H11" s="144">
        <v>3</v>
      </c>
      <c r="I11" s="149">
        <v>0</v>
      </c>
      <c r="J11" s="150" t="s">
        <v>594</v>
      </c>
      <c r="K11" s="150" t="s">
        <v>594</v>
      </c>
      <c r="T11" s="179" t="s">
        <v>150</v>
      </c>
      <c r="U11" s="180">
        <v>0</v>
      </c>
      <c r="V11" s="180">
        <v>0</v>
      </c>
      <c r="W11" s="181">
        <v>0</v>
      </c>
      <c r="X11" s="180">
        <v>0</v>
      </c>
      <c r="Y11" s="180">
        <v>0</v>
      </c>
      <c r="Z11" s="185" t="s">
        <v>594</v>
      </c>
      <c r="AA11" s="185" t="s">
        <v>594</v>
      </c>
    </row>
    <row r="12" spans="4:27" ht="17" x14ac:dyDescent="0.2">
      <c r="D12" s="143" t="s">
        <v>89</v>
      </c>
      <c r="E12" s="145">
        <v>0</v>
      </c>
      <c r="F12" s="145">
        <v>1</v>
      </c>
      <c r="G12" s="145">
        <v>0</v>
      </c>
      <c r="H12" s="144">
        <v>3</v>
      </c>
      <c r="I12" s="147">
        <v>1</v>
      </c>
      <c r="J12" s="148" t="s">
        <v>598</v>
      </c>
      <c r="K12" s="148" t="s">
        <v>598</v>
      </c>
      <c r="P12" s="156" t="s">
        <v>126</v>
      </c>
      <c r="Q12" s="1"/>
      <c r="T12" s="179" t="s">
        <v>153</v>
      </c>
      <c r="U12" s="180">
        <v>0</v>
      </c>
      <c r="V12" s="180">
        <v>0</v>
      </c>
      <c r="W12" s="181">
        <v>0</v>
      </c>
      <c r="X12" s="180">
        <v>1</v>
      </c>
      <c r="Y12" s="180">
        <v>0</v>
      </c>
      <c r="Z12" s="185" t="s">
        <v>594</v>
      </c>
      <c r="AA12" s="185" t="s">
        <v>594</v>
      </c>
    </row>
    <row r="13" spans="4:27" ht="17" x14ac:dyDescent="0.2">
      <c r="D13" s="143" t="s">
        <v>90</v>
      </c>
      <c r="E13" s="144">
        <v>1</v>
      </c>
      <c r="F13" s="145">
        <v>1</v>
      </c>
      <c r="G13" s="145">
        <v>0</v>
      </c>
      <c r="H13" s="144">
        <v>3</v>
      </c>
      <c r="I13" s="149">
        <v>0</v>
      </c>
      <c r="J13" s="152" t="s">
        <v>594</v>
      </c>
      <c r="K13" s="150" t="s">
        <v>594</v>
      </c>
      <c r="P13" s="44" t="s">
        <v>480</v>
      </c>
      <c r="Q13" t="s">
        <v>481</v>
      </c>
      <c r="T13" s="179" t="s">
        <v>154</v>
      </c>
      <c r="U13" s="180">
        <v>0</v>
      </c>
      <c r="V13" s="180">
        <v>0</v>
      </c>
      <c r="W13" s="181">
        <v>0</v>
      </c>
      <c r="X13" s="180">
        <v>1</v>
      </c>
      <c r="Y13" s="180">
        <v>0</v>
      </c>
      <c r="Z13" s="185" t="s">
        <v>594</v>
      </c>
      <c r="AA13" s="185" t="s">
        <v>594</v>
      </c>
    </row>
    <row r="14" spans="4:27" ht="17" x14ac:dyDescent="0.2">
      <c r="D14" s="143" t="s">
        <v>91</v>
      </c>
      <c r="E14" s="144">
        <v>1</v>
      </c>
      <c r="F14" s="144">
        <v>2</v>
      </c>
      <c r="G14" s="163">
        <v>1</v>
      </c>
      <c r="H14" s="145">
        <v>1</v>
      </c>
      <c r="I14" s="147">
        <v>2</v>
      </c>
      <c r="J14" s="148" t="s">
        <v>599</v>
      </c>
      <c r="K14" s="148" t="s">
        <v>600</v>
      </c>
      <c r="P14" s="30" t="s">
        <v>492</v>
      </c>
      <c r="Q14" s="30" t="s">
        <v>493</v>
      </c>
      <c r="T14" s="179" t="s">
        <v>155</v>
      </c>
      <c r="U14" s="180">
        <v>0</v>
      </c>
      <c r="V14" s="180">
        <v>0</v>
      </c>
      <c r="W14" s="181">
        <v>0</v>
      </c>
      <c r="X14" s="180">
        <v>0</v>
      </c>
      <c r="Y14" s="180">
        <v>0</v>
      </c>
      <c r="Z14" s="185" t="s">
        <v>594</v>
      </c>
      <c r="AA14" s="185" t="s">
        <v>594</v>
      </c>
    </row>
    <row r="15" spans="4:27" ht="32" x14ac:dyDescent="0.2">
      <c r="D15" s="143" t="s">
        <v>92</v>
      </c>
      <c r="E15" s="144">
        <v>1</v>
      </c>
      <c r="F15" s="145">
        <v>1</v>
      </c>
      <c r="G15" s="163">
        <v>0</v>
      </c>
      <c r="H15" s="145">
        <v>0</v>
      </c>
      <c r="I15" s="147">
        <v>2</v>
      </c>
      <c r="J15" s="148" t="s">
        <v>601</v>
      </c>
      <c r="K15" s="148" t="s">
        <v>602</v>
      </c>
      <c r="T15" s="179" t="s">
        <v>156</v>
      </c>
      <c r="U15" s="180">
        <v>0</v>
      </c>
      <c r="V15" s="180">
        <v>0</v>
      </c>
      <c r="W15" s="181">
        <v>0</v>
      </c>
      <c r="X15" s="180">
        <v>1</v>
      </c>
      <c r="Y15" s="180">
        <v>0</v>
      </c>
      <c r="Z15" s="185" t="s">
        <v>594</v>
      </c>
      <c r="AA15" s="185" t="s">
        <v>594</v>
      </c>
    </row>
    <row r="16" spans="4:27" ht="32" x14ac:dyDescent="0.2">
      <c r="D16" s="143" t="s">
        <v>93</v>
      </c>
      <c r="E16" s="144">
        <v>1</v>
      </c>
      <c r="F16" s="144">
        <v>2</v>
      </c>
      <c r="G16" s="145">
        <v>0</v>
      </c>
      <c r="H16" s="144">
        <v>2</v>
      </c>
      <c r="I16" s="149">
        <v>0</v>
      </c>
      <c r="J16" s="152" t="s">
        <v>594</v>
      </c>
      <c r="K16" s="150" t="s">
        <v>594</v>
      </c>
      <c r="P16" s="157" t="s">
        <v>603</v>
      </c>
      <c r="Q16" s="1"/>
      <c r="T16" s="179" t="s">
        <v>157</v>
      </c>
      <c r="U16" s="180">
        <v>0</v>
      </c>
      <c r="V16" s="180">
        <v>0</v>
      </c>
      <c r="W16" s="181">
        <v>0</v>
      </c>
      <c r="X16" s="180">
        <v>1</v>
      </c>
      <c r="Y16" s="180">
        <v>0</v>
      </c>
      <c r="Z16" s="185" t="s">
        <v>594</v>
      </c>
      <c r="AA16" s="185" t="s">
        <v>594</v>
      </c>
    </row>
    <row r="17" spans="4:27" ht="17" x14ac:dyDescent="0.2">
      <c r="D17" s="143" t="s">
        <v>94</v>
      </c>
      <c r="E17" s="144">
        <v>1</v>
      </c>
      <c r="F17" s="146">
        <v>1</v>
      </c>
      <c r="G17" s="145">
        <v>0</v>
      </c>
      <c r="H17" s="146">
        <v>1</v>
      </c>
      <c r="I17" s="151">
        <v>0</v>
      </c>
      <c r="J17" s="152" t="s">
        <v>594</v>
      </c>
      <c r="K17" s="150" t="s">
        <v>594</v>
      </c>
      <c r="P17" s="155" t="s">
        <v>482</v>
      </c>
      <c r="Q17" s="155" t="s">
        <v>483</v>
      </c>
      <c r="T17" s="179" t="s">
        <v>158</v>
      </c>
      <c r="U17" s="180">
        <v>0</v>
      </c>
      <c r="V17" s="180">
        <v>0</v>
      </c>
      <c r="W17" s="181">
        <v>0</v>
      </c>
      <c r="X17" s="180">
        <v>0</v>
      </c>
      <c r="Y17" s="180">
        <v>0</v>
      </c>
      <c r="Z17" s="185" t="s">
        <v>594</v>
      </c>
      <c r="AA17" s="185" t="s">
        <v>594</v>
      </c>
    </row>
    <row r="18" spans="4:27" ht="32" x14ac:dyDescent="0.2">
      <c r="D18" s="143" t="s">
        <v>95</v>
      </c>
      <c r="E18" s="144">
        <v>1</v>
      </c>
      <c r="F18" s="146">
        <v>1</v>
      </c>
      <c r="G18" s="145">
        <v>0</v>
      </c>
      <c r="H18" s="146">
        <v>0</v>
      </c>
      <c r="I18" s="146">
        <v>0</v>
      </c>
      <c r="J18" s="148" t="s">
        <v>604</v>
      </c>
      <c r="K18" s="148" t="s">
        <v>605</v>
      </c>
      <c r="P18" s="44" t="s">
        <v>494</v>
      </c>
      <c r="Q18" s="155" t="s">
        <v>495</v>
      </c>
      <c r="T18" s="179" t="s">
        <v>159</v>
      </c>
      <c r="U18" s="180">
        <v>0</v>
      </c>
      <c r="V18" s="180">
        <v>0</v>
      </c>
      <c r="W18" s="180">
        <v>0</v>
      </c>
      <c r="X18" s="180">
        <v>0</v>
      </c>
      <c r="Y18" s="180">
        <v>0</v>
      </c>
      <c r="Z18" s="185" t="s">
        <v>594</v>
      </c>
      <c r="AA18" s="185" t="s">
        <v>594</v>
      </c>
    </row>
    <row r="19" spans="4:27" ht="17" x14ac:dyDescent="0.2">
      <c r="D19" s="143" t="s">
        <v>96</v>
      </c>
      <c r="E19" s="144">
        <v>1</v>
      </c>
      <c r="F19" s="146">
        <v>1</v>
      </c>
      <c r="G19" s="145">
        <v>0</v>
      </c>
      <c r="H19" s="144">
        <v>3</v>
      </c>
      <c r="I19" s="146">
        <v>0</v>
      </c>
      <c r="J19" s="153" t="s">
        <v>606</v>
      </c>
      <c r="K19" s="154" t="s">
        <v>594</v>
      </c>
      <c r="P19" s="30" t="s">
        <v>499</v>
      </c>
      <c r="Q19" s="30" t="s">
        <v>503</v>
      </c>
      <c r="T19" s="179" t="s">
        <v>160</v>
      </c>
      <c r="U19" s="180">
        <v>0</v>
      </c>
      <c r="V19" s="180">
        <v>1</v>
      </c>
      <c r="W19" s="180">
        <v>0</v>
      </c>
      <c r="X19" s="180">
        <v>0</v>
      </c>
      <c r="Y19" s="180">
        <v>0</v>
      </c>
      <c r="Z19" s="185" t="s">
        <v>594</v>
      </c>
      <c r="AA19" s="185" t="s">
        <v>594</v>
      </c>
    </row>
    <row r="20" spans="4:27" ht="17" x14ac:dyDescent="0.2">
      <c r="D20" s="143" t="s">
        <v>97</v>
      </c>
      <c r="E20" s="144">
        <v>1</v>
      </c>
      <c r="F20" s="146">
        <v>0</v>
      </c>
      <c r="G20" s="146">
        <v>0</v>
      </c>
      <c r="H20" s="146">
        <v>0</v>
      </c>
      <c r="I20" s="146">
        <v>0</v>
      </c>
      <c r="J20" s="152" t="s">
        <v>594</v>
      </c>
      <c r="K20" s="152" t="s">
        <v>594</v>
      </c>
      <c r="P20" s="30" t="s">
        <v>508</v>
      </c>
      <c r="Q20" s="30" t="s">
        <v>512</v>
      </c>
      <c r="T20" s="186" t="s">
        <v>161</v>
      </c>
      <c r="U20" s="187">
        <v>0</v>
      </c>
      <c r="V20" s="187">
        <v>1</v>
      </c>
      <c r="W20" s="187">
        <v>0</v>
      </c>
      <c r="X20" s="187">
        <v>0</v>
      </c>
      <c r="Y20" s="187">
        <v>0</v>
      </c>
      <c r="Z20" s="188" t="s">
        <v>594</v>
      </c>
      <c r="AA20" s="188" t="s">
        <v>594</v>
      </c>
    </row>
    <row r="21" spans="4:27" ht="17" x14ac:dyDescent="0.2">
      <c r="D21" s="189" t="s">
        <v>98</v>
      </c>
      <c r="E21" s="190">
        <v>1</v>
      </c>
      <c r="F21" s="190">
        <v>2</v>
      </c>
      <c r="G21" s="191">
        <v>0</v>
      </c>
      <c r="H21" s="191">
        <v>0</v>
      </c>
      <c r="I21" s="191">
        <v>0</v>
      </c>
      <c r="J21" s="192" t="s">
        <v>594</v>
      </c>
      <c r="K21" s="193" t="s">
        <v>594</v>
      </c>
      <c r="P21" s="30" t="s">
        <v>519</v>
      </c>
      <c r="Q21" s="30" t="s">
        <v>520</v>
      </c>
    </row>
    <row r="22" spans="4:27" ht="17" x14ac:dyDescent="0.2">
      <c r="D22" s="240" t="s">
        <v>99</v>
      </c>
      <c r="E22" s="177">
        <v>1</v>
      </c>
      <c r="F22" s="4">
        <v>1</v>
      </c>
      <c r="G22" s="4">
        <v>0</v>
      </c>
      <c r="H22" s="4">
        <v>0</v>
      </c>
      <c r="I22" s="4">
        <v>0</v>
      </c>
    </row>
    <row r="23" spans="4:27" ht="17" x14ac:dyDescent="0.2">
      <c r="D23" s="189" t="s">
        <v>101</v>
      </c>
    </row>
    <row r="24" spans="4:27" ht="17" x14ac:dyDescent="0.2">
      <c r="D24" s="240" t="s">
        <v>102</v>
      </c>
      <c r="P24" s="158" t="s">
        <v>473</v>
      </c>
    </row>
    <row r="25" spans="4:27" ht="17" x14ac:dyDescent="0.2">
      <c r="D25" s="240" t="s">
        <v>103</v>
      </c>
      <c r="P25" s="44" t="s">
        <v>607</v>
      </c>
      <c r="Q25" t="s">
        <v>485</v>
      </c>
    </row>
    <row r="26" spans="4:27" x14ac:dyDescent="0.2">
      <c r="P26" s="159" t="s">
        <v>496</v>
      </c>
      <c r="Q26" s="30" t="s">
        <v>497</v>
      </c>
    </row>
    <row r="27" spans="4:27" x14ac:dyDescent="0.2">
      <c r="P27" s="159" t="s">
        <v>504</v>
      </c>
      <c r="Q27" s="30" t="s">
        <v>505</v>
      </c>
    </row>
    <row r="28" spans="4:27" x14ac:dyDescent="0.2">
      <c r="P28" s="159" t="s">
        <v>513</v>
      </c>
      <c r="Q28" s="30" t="s">
        <v>514</v>
      </c>
    </row>
    <row r="29" spans="4:27" x14ac:dyDescent="0.2">
      <c r="P29" s="159" t="s">
        <v>521</v>
      </c>
      <c r="Q29" s="30" t="s">
        <v>522</v>
      </c>
    </row>
    <row r="30" spans="4:27" x14ac:dyDescent="0.2">
      <c r="P30" s="162" t="s">
        <v>608</v>
      </c>
    </row>
    <row r="32" spans="4:27" x14ac:dyDescent="0.2">
      <c r="P32" s="1" t="s">
        <v>474</v>
      </c>
      <c r="Q32" s="1" t="s">
        <v>475</v>
      </c>
    </row>
    <row r="33" spans="16:17" x14ac:dyDescent="0.2">
      <c r="P33" t="s">
        <v>486</v>
      </c>
      <c r="Q33" s="160" t="s">
        <v>487</v>
      </c>
    </row>
    <row r="34" spans="16:17" x14ac:dyDescent="0.2">
      <c r="Q34" t="s">
        <v>498</v>
      </c>
    </row>
    <row r="35" spans="16:17" x14ac:dyDescent="0.2">
      <c r="P35" s="30" t="s">
        <v>506</v>
      </c>
      <c r="Q35" s="30" t="s">
        <v>609</v>
      </c>
    </row>
    <row r="36" spans="16:17" x14ac:dyDescent="0.2">
      <c r="P36" s="30" t="s">
        <v>515</v>
      </c>
      <c r="Q36" s="30" t="s">
        <v>516</v>
      </c>
    </row>
    <row r="37" spans="16:17" x14ac:dyDescent="0.2">
      <c r="P37" s="30" t="s">
        <v>523</v>
      </c>
      <c r="Q37" s="30" t="s">
        <v>524</v>
      </c>
    </row>
    <row r="38" spans="16:17" x14ac:dyDescent="0.2">
      <c r="P38" s="30" t="s">
        <v>526</v>
      </c>
      <c r="Q38" s="30" t="s">
        <v>527</v>
      </c>
    </row>
    <row r="39" spans="16:17" x14ac:dyDescent="0.2">
      <c r="P39" s="30" t="s">
        <v>528</v>
      </c>
      <c r="Q39" s="30" t="s">
        <v>529</v>
      </c>
    </row>
    <row r="40" spans="16:17" x14ac:dyDescent="0.2">
      <c r="P40" s="30" t="s">
        <v>530</v>
      </c>
      <c r="Q40" s="30" t="s">
        <v>531</v>
      </c>
    </row>
    <row r="41" spans="16:17" x14ac:dyDescent="0.2">
      <c r="P41" s="30" t="s">
        <v>532</v>
      </c>
      <c r="Q41" s="30" t="s">
        <v>533</v>
      </c>
    </row>
    <row r="42" spans="16:17" x14ac:dyDescent="0.2">
      <c r="P42" s="161" t="s">
        <v>534</v>
      </c>
    </row>
    <row r="45" spans="16:17" x14ac:dyDescent="0.2">
      <c r="P45" t="s">
        <v>610</v>
      </c>
    </row>
    <row r="46" spans="16:17" x14ac:dyDescent="0.2">
      <c r="P46" s="194"/>
      <c r="Q46" t="s">
        <v>611</v>
      </c>
    </row>
    <row r="47" spans="16:17" x14ac:dyDescent="0.2">
      <c r="P47" s="195"/>
      <c r="Q47" t="s">
        <v>612</v>
      </c>
    </row>
    <row r="48" spans="16:17" x14ac:dyDescent="0.2">
      <c r="P48" t="s">
        <v>613</v>
      </c>
      <c r="Q48" t="s">
        <v>614</v>
      </c>
    </row>
    <row r="49" spans="16:17" x14ac:dyDescent="0.2">
      <c r="P49" t="s">
        <v>297</v>
      </c>
      <c r="Q49" t="s">
        <v>615</v>
      </c>
    </row>
    <row r="50" spans="16:17" x14ac:dyDescent="0.2">
      <c r="P50" t="s">
        <v>281</v>
      </c>
      <c r="Q50" t="s">
        <v>616</v>
      </c>
    </row>
    <row r="51" spans="16:17" x14ac:dyDescent="0.2">
      <c r="P51" t="s">
        <v>617</v>
      </c>
      <c r="Q51" t="s">
        <v>618</v>
      </c>
    </row>
    <row r="52" spans="16:17" x14ac:dyDescent="0.2">
      <c r="P52" t="s">
        <v>337</v>
      </c>
      <c r="Q52" t="s">
        <v>619</v>
      </c>
    </row>
    <row r="53" spans="16:17" x14ac:dyDescent="0.2">
      <c r="P53" t="s">
        <v>338</v>
      </c>
      <c r="Q53" t="s">
        <v>620</v>
      </c>
    </row>
    <row r="54" spans="16:17" x14ac:dyDescent="0.2">
      <c r="P54" t="s">
        <v>621</v>
      </c>
      <c r="Q54" t="s">
        <v>622</v>
      </c>
    </row>
  </sheetData>
  <phoneticPr fontId="46" type="noConversion"/>
  <hyperlinks>
    <hyperlink ref="P42" r:id="rId1" location="R6" xr:uid="{D6928A35-7A33-5647-A6B1-3E4AC6A427D4}"/>
    <hyperlink ref="P10" r:id="rId2" xr:uid="{AE45F8CC-BE21-E34D-84C2-D15581FBA15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E07B-BB51-6F41-B569-7FF3D5E9787B}">
  <dimension ref="A1:CX28"/>
  <sheetViews>
    <sheetView topLeftCell="B1" zoomScaleNormal="100" workbookViewId="0">
      <selection activeCell="T15" sqref="T15:T19"/>
    </sheetView>
  </sheetViews>
  <sheetFormatPr baseColWidth="10" defaultColWidth="11" defaultRowHeight="16" x14ac:dyDescent="0.2"/>
  <cols>
    <col min="7" max="7" width="14" customWidth="1"/>
  </cols>
  <sheetData>
    <row r="1" spans="1:102" x14ac:dyDescent="0.2">
      <c r="L1" s="448" t="s">
        <v>164</v>
      </c>
      <c r="M1" s="448"/>
    </row>
    <row r="2" spans="1:102" s="97" customFormat="1" ht="16.5" customHeight="1" x14ac:dyDescent="0.2">
      <c r="AC2" s="450"/>
      <c r="AD2" s="450"/>
      <c r="AE2" s="450"/>
      <c r="AF2" s="325"/>
      <c r="AG2" s="325"/>
      <c r="AH2" s="325"/>
      <c r="AI2" s="325"/>
      <c r="AJ2" s="325"/>
      <c r="BE2" s="96"/>
      <c r="BH2" s="96"/>
      <c r="BO2" s="96"/>
      <c r="BT2" s="96"/>
      <c r="BY2" s="96"/>
      <c r="CG2" s="96"/>
      <c r="CO2" s="96"/>
      <c r="CT2" s="96"/>
    </row>
    <row r="3" spans="1:102" x14ac:dyDescent="0.2">
      <c r="H3" s="2"/>
      <c r="I3" s="435" t="s">
        <v>109</v>
      </c>
      <c r="J3" s="435"/>
      <c r="K3" s="435"/>
      <c r="L3" s="435"/>
      <c r="M3" s="435"/>
      <c r="N3" s="2"/>
      <c r="O3" s="432" t="s">
        <v>237</v>
      </c>
      <c r="P3" s="432"/>
      <c r="Q3" s="432"/>
      <c r="R3" s="432"/>
      <c r="S3" s="432"/>
      <c r="T3" s="432"/>
      <c r="U3" s="432"/>
      <c r="V3" s="432"/>
      <c r="Y3" s="2"/>
      <c r="Z3" s="434" t="s">
        <v>238</v>
      </c>
      <c r="AA3" s="434"/>
      <c r="AB3" s="434"/>
      <c r="AC3" s="434"/>
      <c r="AD3" s="434"/>
      <c r="AE3" s="434"/>
      <c r="AF3" s="434"/>
      <c r="AG3" s="434"/>
      <c r="AJ3" s="2"/>
      <c r="AK3" s="427" t="s">
        <v>239</v>
      </c>
      <c r="AL3" s="427"/>
      <c r="AM3" s="3"/>
      <c r="AN3" s="427" t="s">
        <v>240</v>
      </c>
      <c r="AO3" s="427"/>
      <c r="AP3" s="427"/>
      <c r="AQ3" s="427"/>
      <c r="AR3" s="3"/>
      <c r="AS3" s="432" t="s">
        <v>241</v>
      </c>
      <c r="AT3" s="432"/>
      <c r="AU3" s="432"/>
      <c r="AV3" s="432"/>
      <c r="AW3" s="3"/>
      <c r="AX3" s="434" t="s">
        <v>242</v>
      </c>
      <c r="AY3" s="434"/>
      <c r="AZ3" s="434"/>
      <c r="BA3" s="434"/>
      <c r="BB3" s="3"/>
      <c r="BC3" s="432" t="s">
        <v>243</v>
      </c>
      <c r="BD3" s="432"/>
      <c r="BE3" s="432"/>
      <c r="BF3" s="432"/>
      <c r="BG3" s="432"/>
      <c r="BH3" s="432"/>
      <c r="BJ3" s="3"/>
      <c r="BK3" s="434" t="s">
        <v>244</v>
      </c>
      <c r="BL3" s="434"/>
      <c r="BM3" s="434"/>
      <c r="BN3" s="434"/>
      <c r="BO3" s="434"/>
      <c r="BP3" s="434"/>
      <c r="BR3" s="3"/>
      <c r="BS3" s="427" t="s">
        <v>118</v>
      </c>
      <c r="BT3" s="427"/>
      <c r="BU3" s="427"/>
      <c r="BV3" s="427"/>
      <c r="BW3" s="3"/>
      <c r="BX3" s="427" t="s">
        <v>245</v>
      </c>
      <c r="BY3" s="427"/>
    </row>
    <row r="4" spans="1:102" x14ac:dyDescent="0.2">
      <c r="A4" s="20" t="s">
        <v>82</v>
      </c>
      <c r="B4" s="1" t="s">
        <v>108</v>
      </c>
      <c r="C4" s="1" t="s">
        <v>169</v>
      </c>
      <c r="D4" s="1" t="s">
        <v>55</v>
      </c>
      <c r="E4" s="1" t="s">
        <v>623</v>
      </c>
      <c r="F4" s="1" t="s">
        <v>255</v>
      </c>
      <c r="G4" s="1" t="s">
        <v>256</v>
      </c>
      <c r="H4" s="2"/>
      <c r="I4" s="1" t="s">
        <v>9</v>
      </c>
      <c r="J4" s="1" t="s">
        <v>13</v>
      </c>
      <c r="K4" s="1" t="s">
        <v>10</v>
      </c>
      <c r="L4" s="1" t="s">
        <v>11</v>
      </c>
      <c r="M4" s="1" t="s">
        <v>12</v>
      </c>
      <c r="N4" s="2"/>
      <c r="O4" s="1">
        <v>250</v>
      </c>
      <c r="P4" s="1">
        <v>500</v>
      </c>
      <c r="Q4" s="1">
        <v>1000</v>
      </c>
      <c r="R4" s="1">
        <v>2000</v>
      </c>
      <c r="S4" s="1">
        <v>3000</v>
      </c>
      <c r="T4" s="1">
        <v>4000</v>
      </c>
      <c r="U4" s="1">
        <v>6000</v>
      </c>
      <c r="V4" s="1">
        <v>8000</v>
      </c>
      <c r="W4" s="54" t="s">
        <v>259</v>
      </c>
      <c r="X4" s="53" t="s">
        <v>260</v>
      </c>
      <c r="Y4" s="2"/>
      <c r="Z4" s="1">
        <v>250</v>
      </c>
      <c r="AA4" s="1">
        <v>500</v>
      </c>
      <c r="AB4" s="1">
        <v>1000</v>
      </c>
      <c r="AC4" s="1">
        <v>2000</v>
      </c>
      <c r="AD4" s="1">
        <v>3000</v>
      </c>
      <c r="AE4" s="1">
        <v>4000</v>
      </c>
      <c r="AF4" s="1">
        <v>6000</v>
      </c>
      <c r="AG4" s="1">
        <v>8000</v>
      </c>
      <c r="AH4" s="59" t="s">
        <v>259</v>
      </c>
      <c r="AI4" s="58" t="s">
        <v>260</v>
      </c>
      <c r="AJ4" s="2"/>
      <c r="AK4" s="6" t="s">
        <v>261</v>
      </c>
      <c r="AL4" s="7" t="s">
        <v>262</v>
      </c>
      <c r="AM4" s="3"/>
      <c r="AN4" s="6" t="s">
        <v>263</v>
      </c>
      <c r="AO4" s="6" t="s">
        <v>264</v>
      </c>
      <c r="AP4" s="7" t="s">
        <v>265</v>
      </c>
      <c r="AQ4" s="7" t="s">
        <v>264</v>
      </c>
      <c r="AR4" s="3"/>
      <c r="AS4" s="1">
        <v>10000</v>
      </c>
      <c r="AT4" s="1">
        <v>12500</v>
      </c>
      <c r="AU4" s="1">
        <v>14000</v>
      </c>
      <c r="AV4" s="1">
        <v>16000</v>
      </c>
      <c r="AW4" s="3"/>
      <c r="AX4" s="1">
        <v>10000</v>
      </c>
      <c r="AY4" s="1">
        <v>12500</v>
      </c>
      <c r="AZ4" s="1">
        <v>14000</v>
      </c>
      <c r="BA4" s="1">
        <v>16000</v>
      </c>
      <c r="BB4" s="3"/>
      <c r="BC4" s="1">
        <v>250</v>
      </c>
      <c r="BD4" s="1">
        <v>500</v>
      </c>
      <c r="BE4" s="1">
        <v>1000</v>
      </c>
      <c r="BF4" s="1">
        <v>2000</v>
      </c>
      <c r="BG4" s="1">
        <v>4000</v>
      </c>
      <c r="BH4" s="1">
        <v>8000</v>
      </c>
      <c r="BI4" s="8" t="s">
        <v>266</v>
      </c>
      <c r="BJ4" s="3"/>
      <c r="BK4" s="1">
        <v>250</v>
      </c>
      <c r="BL4" s="1">
        <v>500</v>
      </c>
      <c r="BM4" s="1">
        <v>1000</v>
      </c>
      <c r="BN4" s="1">
        <v>2000</v>
      </c>
      <c r="BO4" s="1">
        <v>4000</v>
      </c>
      <c r="BP4" s="1">
        <v>8000</v>
      </c>
      <c r="BQ4" s="5" t="s">
        <v>266</v>
      </c>
      <c r="BR4" s="3"/>
      <c r="BS4" s="1" t="s">
        <v>267</v>
      </c>
      <c r="BT4" s="1" t="s">
        <v>268</v>
      </c>
      <c r="BU4" s="1" t="s">
        <v>269</v>
      </c>
      <c r="BV4" s="1" t="s">
        <v>270</v>
      </c>
      <c r="BW4" s="3"/>
      <c r="BX4" s="329" t="s">
        <v>273</v>
      </c>
      <c r="BY4" s="330" t="s">
        <v>274</v>
      </c>
    </row>
    <row r="5" spans="1:102" s="112" customFormat="1" x14ac:dyDescent="0.2">
      <c r="A5" s="114" t="s">
        <v>624</v>
      </c>
      <c r="B5" s="113"/>
      <c r="C5" s="113"/>
      <c r="D5" s="112" t="s">
        <v>625</v>
      </c>
      <c r="E5" s="130">
        <v>45721</v>
      </c>
      <c r="F5" s="113"/>
      <c r="G5" s="113"/>
      <c r="H5" s="113"/>
      <c r="I5" s="131">
        <v>1</v>
      </c>
      <c r="J5" s="132">
        <v>0</v>
      </c>
      <c r="K5" s="132">
        <v>0</v>
      </c>
      <c r="L5" s="132">
        <v>0</v>
      </c>
      <c r="M5" s="132">
        <v>0</v>
      </c>
      <c r="N5" s="113"/>
      <c r="O5" s="112">
        <v>5</v>
      </c>
      <c r="P5" s="112">
        <v>5</v>
      </c>
      <c r="Q5" s="112">
        <v>5</v>
      </c>
      <c r="R5" s="112">
        <v>0</v>
      </c>
      <c r="S5" s="112">
        <v>0</v>
      </c>
      <c r="T5" s="112">
        <v>0</v>
      </c>
      <c r="U5" s="112">
        <v>0</v>
      </c>
      <c r="V5" s="112">
        <v>5</v>
      </c>
      <c r="W5" s="133">
        <f t="shared" ref="W5:W9" si="0">AVERAGE(P5:R5,T5)</f>
        <v>2.5</v>
      </c>
      <c r="X5" s="134" t="s">
        <v>41</v>
      </c>
      <c r="Y5" s="113"/>
      <c r="Z5" s="112">
        <v>5</v>
      </c>
      <c r="AA5" s="112">
        <v>0</v>
      </c>
      <c r="AB5" s="112">
        <v>-5</v>
      </c>
      <c r="AC5" s="112">
        <v>0</v>
      </c>
      <c r="AD5" s="112">
        <v>0</v>
      </c>
      <c r="AE5" s="112">
        <v>5</v>
      </c>
      <c r="AF5" s="112">
        <v>5</v>
      </c>
      <c r="AG5" s="112">
        <v>0</v>
      </c>
      <c r="AH5" s="135">
        <f t="shared" ref="AH5:AH9" si="1">AVERAGE(AA5:AC5,AE5)</f>
        <v>0</v>
      </c>
      <c r="AI5" s="134" t="s">
        <v>41</v>
      </c>
      <c r="AJ5" s="113"/>
      <c r="AK5" s="112">
        <v>5</v>
      </c>
      <c r="AL5" s="112">
        <v>5</v>
      </c>
      <c r="AN5" s="136"/>
      <c r="AO5" s="136"/>
      <c r="AP5" s="137"/>
      <c r="AQ5" s="137"/>
      <c r="AS5" s="138">
        <v>-5</v>
      </c>
      <c r="AT5" s="138">
        <v>-5</v>
      </c>
      <c r="AU5" s="138">
        <v>0</v>
      </c>
      <c r="AV5" s="138">
        <v>-10</v>
      </c>
      <c r="AX5" s="112">
        <v>10</v>
      </c>
      <c r="AY5" s="112">
        <v>0</v>
      </c>
      <c r="AZ5" s="112">
        <v>10</v>
      </c>
      <c r="BA5" s="112">
        <v>5</v>
      </c>
      <c r="BC5" s="112">
        <v>110</v>
      </c>
      <c r="BD5" s="112">
        <v>105</v>
      </c>
      <c r="BE5" s="112">
        <v>100</v>
      </c>
      <c r="BF5" s="112">
        <v>110</v>
      </c>
      <c r="BG5" s="112">
        <v>105</v>
      </c>
      <c r="BH5" s="112">
        <v>105</v>
      </c>
      <c r="BI5" s="139">
        <v>106</v>
      </c>
      <c r="BK5" s="112">
        <v>105</v>
      </c>
      <c r="BL5" s="112">
        <v>110</v>
      </c>
      <c r="BM5" s="112">
        <v>100</v>
      </c>
      <c r="BN5" s="112">
        <v>100</v>
      </c>
      <c r="BO5" s="112">
        <v>105</v>
      </c>
      <c r="BP5" s="112">
        <v>105</v>
      </c>
      <c r="BQ5" s="140">
        <f t="shared" ref="BQ5:BQ9" si="2">AVERAGE(BK5:BP5)</f>
        <v>104.16666666666667</v>
      </c>
      <c r="BS5" s="452" t="s">
        <v>280</v>
      </c>
      <c r="BT5" s="452"/>
      <c r="BU5" s="452"/>
      <c r="BV5" s="452"/>
    </row>
    <row r="6" spans="1:102" s="112" customFormat="1" x14ac:dyDescent="0.2">
      <c r="A6" s="114" t="s">
        <v>626</v>
      </c>
      <c r="B6" s="113"/>
      <c r="C6" s="113"/>
      <c r="D6" s="112" t="s">
        <v>627</v>
      </c>
      <c r="E6" s="130">
        <v>45723</v>
      </c>
      <c r="F6" s="113"/>
      <c r="G6" s="113"/>
      <c r="H6" s="113"/>
      <c r="I6" s="131">
        <v>1</v>
      </c>
      <c r="J6" s="132">
        <v>0</v>
      </c>
      <c r="K6" s="132">
        <v>0</v>
      </c>
      <c r="L6" s="132">
        <v>0</v>
      </c>
      <c r="M6" s="132">
        <v>0</v>
      </c>
      <c r="N6" s="113"/>
      <c r="O6" s="112">
        <v>15</v>
      </c>
      <c r="P6" s="112">
        <v>15</v>
      </c>
      <c r="Q6" s="112">
        <v>5</v>
      </c>
      <c r="R6" s="112">
        <v>5</v>
      </c>
      <c r="S6" s="112">
        <v>0</v>
      </c>
      <c r="T6" s="112">
        <v>0</v>
      </c>
      <c r="U6" s="112">
        <v>0</v>
      </c>
      <c r="V6" s="112">
        <v>0</v>
      </c>
      <c r="W6" s="133">
        <f t="shared" si="0"/>
        <v>6.25</v>
      </c>
      <c r="X6" s="134" t="s">
        <v>41</v>
      </c>
      <c r="Y6" s="113"/>
      <c r="Z6" s="112">
        <v>15</v>
      </c>
      <c r="AA6" s="112">
        <v>15</v>
      </c>
      <c r="AB6" s="112">
        <v>0</v>
      </c>
      <c r="AC6" s="112">
        <v>5</v>
      </c>
      <c r="AD6" s="112">
        <v>5</v>
      </c>
      <c r="AE6" s="112">
        <v>10</v>
      </c>
      <c r="AF6" s="112">
        <v>0</v>
      </c>
      <c r="AG6" s="112">
        <v>0</v>
      </c>
      <c r="AH6" s="135">
        <f t="shared" si="1"/>
        <v>7.5</v>
      </c>
      <c r="AI6" s="134" t="s">
        <v>41</v>
      </c>
      <c r="AJ6" s="113"/>
      <c r="AK6" s="112">
        <v>0</v>
      </c>
      <c r="AL6" s="112">
        <v>10</v>
      </c>
      <c r="AN6" s="136"/>
      <c r="AO6" s="136"/>
      <c r="AP6" s="137"/>
      <c r="AQ6" s="137"/>
      <c r="AS6" s="138">
        <v>0</v>
      </c>
      <c r="AT6" s="138">
        <v>-10</v>
      </c>
      <c r="AU6" s="138">
        <v>-5</v>
      </c>
      <c r="AV6" s="138">
        <v>5</v>
      </c>
      <c r="AX6" s="112">
        <v>0</v>
      </c>
      <c r="AY6" s="112">
        <v>-5</v>
      </c>
      <c r="AZ6" s="112">
        <v>-5</v>
      </c>
      <c r="BA6" s="112">
        <v>5</v>
      </c>
      <c r="BC6" s="112">
        <v>90</v>
      </c>
      <c r="BD6" s="112">
        <v>100</v>
      </c>
      <c r="BE6" s="112">
        <v>95</v>
      </c>
      <c r="BF6" s="112">
        <v>100</v>
      </c>
      <c r="BG6" s="112">
        <v>90</v>
      </c>
      <c r="BH6" s="112">
        <v>100</v>
      </c>
      <c r="BI6" s="139">
        <v>96</v>
      </c>
      <c r="BK6" s="112">
        <v>90</v>
      </c>
      <c r="BL6" s="112">
        <v>90</v>
      </c>
      <c r="BM6" s="112">
        <v>90</v>
      </c>
      <c r="BN6" s="112">
        <v>90</v>
      </c>
      <c r="BO6" s="112">
        <v>85</v>
      </c>
      <c r="BP6" s="141">
        <v>75</v>
      </c>
      <c r="BQ6" s="140">
        <f t="shared" si="2"/>
        <v>86.666666666666671</v>
      </c>
      <c r="BS6" s="452" t="s">
        <v>280</v>
      </c>
      <c r="BT6" s="452"/>
      <c r="BU6" s="452"/>
      <c r="BV6" s="452"/>
      <c r="BX6" s="112" t="s">
        <v>281</v>
      </c>
      <c r="BY6" s="112" t="s">
        <v>281</v>
      </c>
    </row>
    <row r="7" spans="1:102" s="75" customFormat="1" x14ac:dyDescent="0.2">
      <c r="A7" s="45" t="s">
        <v>99</v>
      </c>
      <c r="D7" s="75" t="s">
        <v>73</v>
      </c>
      <c r="E7" s="76">
        <f>DATE(2025,10,29)</f>
        <v>45959</v>
      </c>
      <c r="F7" s="76"/>
      <c r="H7" s="2"/>
      <c r="I7" s="124">
        <v>0</v>
      </c>
      <c r="J7" s="104">
        <v>0</v>
      </c>
      <c r="K7" s="104">
        <v>0</v>
      </c>
      <c r="L7" s="91">
        <v>1</v>
      </c>
      <c r="M7" s="104">
        <v>0</v>
      </c>
      <c r="N7" s="2"/>
      <c r="O7" s="75">
        <v>5</v>
      </c>
      <c r="P7" s="75">
        <v>15</v>
      </c>
      <c r="Q7" s="75">
        <v>10</v>
      </c>
      <c r="R7" s="75">
        <v>0</v>
      </c>
      <c r="S7" s="75">
        <v>5</v>
      </c>
      <c r="T7" s="75">
        <v>10</v>
      </c>
      <c r="U7" s="75">
        <v>5</v>
      </c>
      <c r="V7" s="75">
        <v>5</v>
      </c>
      <c r="W7" s="78">
        <f t="shared" si="0"/>
        <v>8.75</v>
      </c>
      <c r="X7" s="89" t="s">
        <v>41</v>
      </c>
      <c r="Y7" s="2"/>
      <c r="Z7" s="75">
        <v>10</v>
      </c>
      <c r="AA7" s="75">
        <v>10</v>
      </c>
      <c r="AB7" s="75">
        <v>5</v>
      </c>
      <c r="AC7" s="75">
        <v>10</v>
      </c>
      <c r="AD7" s="75">
        <v>10</v>
      </c>
      <c r="AE7" s="75">
        <v>5</v>
      </c>
      <c r="AF7" s="75">
        <v>5</v>
      </c>
      <c r="AG7" s="75">
        <v>5</v>
      </c>
      <c r="AH7" s="90">
        <f t="shared" si="1"/>
        <v>7.5</v>
      </c>
      <c r="AI7" s="331" t="s">
        <v>41</v>
      </c>
      <c r="AJ7" s="2"/>
      <c r="AK7" s="75">
        <v>5</v>
      </c>
      <c r="AL7" s="75">
        <v>10</v>
      </c>
      <c r="AM7" s="3"/>
      <c r="AN7" s="81">
        <v>100</v>
      </c>
      <c r="AO7" s="81">
        <v>45</v>
      </c>
      <c r="AP7" s="82">
        <v>100</v>
      </c>
      <c r="AQ7" s="82">
        <v>50</v>
      </c>
      <c r="AR7" s="3"/>
      <c r="AS7" s="85">
        <v>0</v>
      </c>
      <c r="AT7" s="85">
        <v>0</v>
      </c>
      <c r="AU7" s="85">
        <v>15</v>
      </c>
      <c r="AV7" s="85">
        <v>5</v>
      </c>
      <c r="AW7" s="3"/>
      <c r="AX7" s="85">
        <v>0</v>
      </c>
      <c r="AY7" s="85">
        <v>5</v>
      </c>
      <c r="AZ7" s="85">
        <v>10</v>
      </c>
      <c r="BA7" s="85">
        <v>15</v>
      </c>
      <c r="BB7" s="3"/>
      <c r="BC7" s="84">
        <v>110</v>
      </c>
      <c r="BD7" s="84">
        <v>115</v>
      </c>
      <c r="BE7" s="84">
        <v>100</v>
      </c>
      <c r="BF7" s="84">
        <v>100</v>
      </c>
      <c r="BG7" s="84">
        <v>90</v>
      </c>
      <c r="BH7" s="84">
        <v>80</v>
      </c>
      <c r="BI7" s="86">
        <f>AVERAGE(BC7:BH7)</f>
        <v>99.166666666666671</v>
      </c>
      <c r="BJ7" s="3"/>
      <c r="BK7" s="84">
        <v>105</v>
      </c>
      <c r="BL7" s="91">
        <v>105</v>
      </c>
      <c r="BM7" s="91">
        <v>100</v>
      </c>
      <c r="BN7" s="91">
        <v>90</v>
      </c>
      <c r="BO7" s="91">
        <v>90</v>
      </c>
      <c r="BP7" s="91">
        <v>80</v>
      </c>
      <c r="BQ7" s="88">
        <f t="shared" si="2"/>
        <v>95</v>
      </c>
      <c r="BR7" s="3"/>
      <c r="BS7" s="433" t="s">
        <v>280</v>
      </c>
      <c r="BT7" s="433"/>
      <c r="BU7" s="433"/>
      <c r="BV7" s="433"/>
      <c r="BW7" s="3"/>
      <c r="BX7" s="75" t="s">
        <v>281</v>
      </c>
      <c r="BY7" s="75" t="s">
        <v>281</v>
      </c>
    </row>
    <row r="8" spans="1:102" s="75" customFormat="1" x14ac:dyDescent="0.2">
      <c r="A8" s="45" t="s">
        <v>100</v>
      </c>
      <c r="D8" s="75" t="s">
        <v>74</v>
      </c>
      <c r="E8" s="76">
        <f>DATE(2025,10,30)</f>
        <v>45960</v>
      </c>
      <c r="F8" s="76"/>
      <c r="H8" s="2"/>
      <c r="I8" s="124">
        <v>0</v>
      </c>
      <c r="J8" s="91">
        <v>1</v>
      </c>
      <c r="K8" s="91">
        <v>1</v>
      </c>
      <c r="L8" s="91">
        <v>0</v>
      </c>
      <c r="M8" s="91">
        <v>0</v>
      </c>
      <c r="N8" s="2"/>
      <c r="O8" s="75">
        <v>25</v>
      </c>
      <c r="P8" s="77">
        <v>35</v>
      </c>
      <c r="Q8" s="75">
        <v>20</v>
      </c>
      <c r="R8" s="75">
        <v>15</v>
      </c>
      <c r="S8" s="75">
        <v>25</v>
      </c>
      <c r="T8" s="77">
        <v>40</v>
      </c>
      <c r="U8" s="77">
        <v>40</v>
      </c>
      <c r="V8" s="77">
        <v>55</v>
      </c>
      <c r="W8" s="78">
        <f t="shared" si="0"/>
        <v>27.5</v>
      </c>
      <c r="X8" s="79" t="s">
        <v>46</v>
      </c>
      <c r="Y8" s="2"/>
      <c r="Z8" s="77">
        <v>45</v>
      </c>
      <c r="AA8" s="77">
        <v>50</v>
      </c>
      <c r="AB8" s="77">
        <v>40</v>
      </c>
      <c r="AC8" s="77">
        <v>45</v>
      </c>
      <c r="AD8" s="77">
        <v>70</v>
      </c>
      <c r="AE8" s="77">
        <v>60</v>
      </c>
      <c r="AF8" s="77">
        <v>70</v>
      </c>
      <c r="AG8" s="77">
        <v>70</v>
      </c>
      <c r="AH8" s="80">
        <f t="shared" si="1"/>
        <v>48.75</v>
      </c>
      <c r="AI8" s="123" t="s">
        <v>46</v>
      </c>
      <c r="AJ8" s="2"/>
      <c r="AK8" s="75">
        <v>25</v>
      </c>
      <c r="AL8" s="77">
        <v>55</v>
      </c>
      <c r="AM8" s="3"/>
      <c r="AN8" s="81">
        <v>100</v>
      </c>
      <c r="AO8" s="81">
        <v>65</v>
      </c>
      <c r="AP8" s="82">
        <v>72</v>
      </c>
      <c r="AQ8" s="82">
        <v>85</v>
      </c>
      <c r="AR8" s="3"/>
      <c r="AS8" s="87">
        <v>70</v>
      </c>
      <c r="AT8" s="87">
        <v>80</v>
      </c>
      <c r="AU8" s="83">
        <v>80</v>
      </c>
      <c r="AV8" s="83">
        <v>60</v>
      </c>
      <c r="AW8" s="3"/>
      <c r="AX8" s="87">
        <v>85</v>
      </c>
      <c r="AY8" s="87">
        <v>90</v>
      </c>
      <c r="AZ8" s="83">
        <v>80</v>
      </c>
      <c r="BA8" s="83">
        <v>60</v>
      </c>
      <c r="BB8" s="3"/>
      <c r="BC8" s="84">
        <v>100</v>
      </c>
      <c r="BD8" s="91">
        <v>100</v>
      </c>
      <c r="BE8" s="91">
        <v>95</v>
      </c>
      <c r="BF8" s="91">
        <v>105</v>
      </c>
      <c r="BG8" s="91">
        <v>110</v>
      </c>
      <c r="BH8" s="91">
        <v>105</v>
      </c>
      <c r="BI8" s="86">
        <f>AVERAGE(BC8:BH8)</f>
        <v>102.5</v>
      </c>
      <c r="BJ8" s="3"/>
      <c r="BK8" s="84">
        <v>95</v>
      </c>
      <c r="BL8" s="84">
        <v>90</v>
      </c>
      <c r="BM8" s="84">
        <v>85</v>
      </c>
      <c r="BN8" s="84">
        <v>95</v>
      </c>
      <c r="BO8" s="84">
        <v>115</v>
      </c>
      <c r="BP8" s="84">
        <v>105</v>
      </c>
      <c r="BQ8" s="88">
        <f t="shared" si="2"/>
        <v>97.5</v>
      </c>
      <c r="BR8" s="3"/>
      <c r="BS8" s="77" t="s">
        <v>276</v>
      </c>
      <c r="BT8" s="77" t="s">
        <v>277</v>
      </c>
      <c r="BU8" s="77">
        <v>8000</v>
      </c>
      <c r="BV8" s="77">
        <v>61</v>
      </c>
      <c r="BW8" s="3"/>
      <c r="BX8" s="46"/>
      <c r="BY8" s="46"/>
    </row>
    <row r="9" spans="1:102" s="75" customFormat="1" x14ac:dyDescent="0.2">
      <c r="A9" s="45" t="s">
        <v>101</v>
      </c>
      <c r="D9" s="75" t="s">
        <v>75</v>
      </c>
      <c r="E9" s="76">
        <f>DATE(2025,10,31)</f>
        <v>45961</v>
      </c>
      <c r="F9" s="76"/>
      <c r="H9" s="2"/>
      <c r="I9" s="124">
        <v>0</v>
      </c>
      <c r="J9" s="91">
        <v>1</v>
      </c>
      <c r="K9" s="91">
        <v>1</v>
      </c>
      <c r="L9" s="91">
        <v>1</v>
      </c>
      <c r="M9" s="91">
        <v>1</v>
      </c>
      <c r="N9" s="2"/>
      <c r="O9" s="75">
        <v>10</v>
      </c>
      <c r="P9" s="75">
        <v>10</v>
      </c>
      <c r="Q9" s="75">
        <v>10</v>
      </c>
      <c r="R9" s="77">
        <v>35</v>
      </c>
      <c r="S9" s="77">
        <v>55</v>
      </c>
      <c r="T9" s="77">
        <v>65</v>
      </c>
      <c r="U9" s="77">
        <v>60</v>
      </c>
      <c r="V9" s="77">
        <v>75</v>
      </c>
      <c r="W9" s="92">
        <f t="shared" si="0"/>
        <v>30</v>
      </c>
      <c r="X9" s="79" t="s">
        <v>46</v>
      </c>
      <c r="Y9" s="2"/>
      <c r="Z9" s="75">
        <v>10</v>
      </c>
      <c r="AA9" s="75">
        <v>10</v>
      </c>
      <c r="AB9" s="75">
        <v>10</v>
      </c>
      <c r="AC9" s="77">
        <v>40</v>
      </c>
      <c r="AD9" s="77">
        <v>50</v>
      </c>
      <c r="AE9" s="77">
        <v>50</v>
      </c>
      <c r="AF9" s="77">
        <v>45</v>
      </c>
      <c r="AG9" s="77">
        <v>55</v>
      </c>
      <c r="AH9" s="90">
        <f t="shared" si="1"/>
        <v>27.5</v>
      </c>
      <c r="AI9" s="123" t="s">
        <v>46</v>
      </c>
      <c r="AJ9" s="2"/>
      <c r="AK9" s="75">
        <v>20</v>
      </c>
      <c r="AL9" s="75">
        <v>25</v>
      </c>
      <c r="AM9" s="3"/>
      <c r="AN9" s="81">
        <v>100</v>
      </c>
      <c r="AO9" s="81">
        <v>70</v>
      </c>
      <c r="AP9" s="82">
        <v>100</v>
      </c>
      <c r="AQ9" s="82">
        <v>75</v>
      </c>
      <c r="AR9" s="3"/>
      <c r="AS9" s="87">
        <v>70</v>
      </c>
      <c r="AT9" s="87">
        <v>75</v>
      </c>
      <c r="AU9" s="93">
        <v>80</v>
      </c>
      <c r="AV9" s="83">
        <v>60</v>
      </c>
      <c r="AW9" s="3"/>
      <c r="AX9" s="87">
        <v>55</v>
      </c>
      <c r="AY9" s="87">
        <v>65</v>
      </c>
      <c r="AZ9" s="83">
        <v>80</v>
      </c>
      <c r="BA9" s="87">
        <v>60</v>
      </c>
      <c r="BB9" s="3"/>
      <c r="BC9" s="87">
        <v>70</v>
      </c>
      <c r="BD9" s="87">
        <v>75</v>
      </c>
      <c r="BE9" s="87">
        <v>70</v>
      </c>
      <c r="BF9" s="85">
        <v>80</v>
      </c>
      <c r="BG9" s="85">
        <v>95</v>
      </c>
      <c r="BH9" s="85">
        <v>105</v>
      </c>
      <c r="BI9" s="86">
        <f>AVERAGE(BC9:BH9)</f>
        <v>82.5</v>
      </c>
      <c r="BJ9" s="3"/>
      <c r="BK9" s="87">
        <v>70</v>
      </c>
      <c r="BL9" s="87">
        <v>70</v>
      </c>
      <c r="BM9" s="87">
        <v>75</v>
      </c>
      <c r="BN9" s="75">
        <v>90</v>
      </c>
      <c r="BO9" s="75">
        <v>95</v>
      </c>
      <c r="BP9" s="75">
        <v>105</v>
      </c>
      <c r="BQ9" s="88">
        <f t="shared" si="2"/>
        <v>84.166666666666671</v>
      </c>
      <c r="BR9" s="3"/>
      <c r="BS9" s="94" t="s">
        <v>283</v>
      </c>
      <c r="BT9" s="94" t="s">
        <v>277</v>
      </c>
      <c r="BU9" s="94">
        <v>1500</v>
      </c>
      <c r="BV9" s="94">
        <v>32</v>
      </c>
      <c r="BW9" s="3"/>
      <c r="BX9" s="75" t="s">
        <v>281</v>
      </c>
      <c r="BY9" s="75" t="s">
        <v>281</v>
      </c>
    </row>
    <row r="10" spans="1:102" s="75" customFormat="1" x14ac:dyDescent="0.2">
      <c r="A10" s="45"/>
      <c r="E10" s="76"/>
      <c r="F10" s="76"/>
      <c r="H10" s="2"/>
      <c r="I10" s="124"/>
      <c r="J10" s="91"/>
      <c r="K10" s="91"/>
      <c r="L10" s="91"/>
      <c r="M10" s="91"/>
      <c r="N10" s="2"/>
      <c r="R10" s="77"/>
      <c r="S10" s="77"/>
      <c r="T10" s="77"/>
      <c r="U10" s="77"/>
      <c r="V10" s="77"/>
      <c r="W10" s="333"/>
      <c r="X10" s="79"/>
      <c r="Y10" s="2"/>
      <c r="AC10" s="77"/>
      <c r="AD10" s="77"/>
      <c r="AE10" s="77"/>
      <c r="AF10" s="77"/>
      <c r="AG10" s="77"/>
      <c r="AH10" s="334"/>
      <c r="AI10" s="123"/>
      <c r="AJ10" s="2"/>
      <c r="AM10" s="3"/>
      <c r="AN10" s="81"/>
      <c r="AO10" s="81"/>
      <c r="AP10" s="82"/>
      <c r="AQ10" s="82"/>
      <c r="AR10" s="3"/>
      <c r="AS10" s="87"/>
      <c r="AT10" s="87"/>
      <c r="AU10" s="93"/>
      <c r="AV10" s="83"/>
      <c r="AW10" s="3"/>
      <c r="AX10" s="87"/>
      <c r="AY10" s="87"/>
      <c r="AZ10" s="83"/>
      <c r="BA10" s="87"/>
      <c r="BB10" s="3"/>
      <c r="BC10" s="87"/>
      <c r="BD10" s="87"/>
      <c r="BE10" s="87"/>
      <c r="BF10" s="85"/>
      <c r="BG10" s="85"/>
      <c r="BH10" s="85"/>
      <c r="BI10" s="86"/>
      <c r="BJ10" s="3"/>
      <c r="BK10" s="87"/>
      <c r="BL10" s="87"/>
      <c r="BM10" s="87"/>
      <c r="BQ10" s="88"/>
      <c r="BR10" s="3"/>
      <c r="BS10" s="94"/>
      <c r="BT10" s="94"/>
      <c r="BU10" s="94"/>
      <c r="BV10" s="94"/>
      <c r="BW10" s="3"/>
    </row>
    <row r="13" spans="1:102" s="97" customFormat="1" ht="16.5" customHeight="1" x14ac:dyDescent="0.2">
      <c r="A13" s="97" t="s">
        <v>628</v>
      </c>
      <c r="AC13" s="450"/>
      <c r="AD13" s="450"/>
      <c r="AE13" s="450"/>
      <c r="AF13" s="325"/>
      <c r="AG13" s="325"/>
      <c r="AH13" s="325"/>
      <c r="AI13" s="325"/>
      <c r="AJ13" s="325"/>
      <c r="BE13" s="96"/>
      <c r="BH13" s="96"/>
      <c r="BO13" s="96"/>
      <c r="BT13" s="96"/>
      <c r="BY13" s="96"/>
      <c r="CG13" s="96"/>
      <c r="CO13" s="96"/>
      <c r="CT13" s="96"/>
    </row>
    <row r="14" spans="1:102" x14ac:dyDescent="0.2">
      <c r="F14" s="21"/>
      <c r="G14" s="21"/>
      <c r="H14" s="21"/>
      <c r="I14" s="21"/>
      <c r="N14" s="2"/>
      <c r="O14" s="435" t="s">
        <v>109</v>
      </c>
      <c r="P14" s="435"/>
      <c r="Q14" s="435"/>
      <c r="R14" s="435"/>
      <c r="S14" s="435"/>
      <c r="T14" s="2"/>
      <c r="U14" s="432" t="s">
        <v>237</v>
      </c>
      <c r="V14" s="432"/>
      <c r="W14" s="432"/>
      <c r="X14" s="432"/>
      <c r="Y14" s="432"/>
      <c r="Z14" s="432"/>
      <c r="AA14" s="432"/>
      <c r="AB14" s="432"/>
      <c r="AE14" s="2"/>
      <c r="AF14" s="434" t="s">
        <v>238</v>
      </c>
      <c r="AG14" s="434"/>
      <c r="AH14" s="434"/>
      <c r="AI14" s="434"/>
      <c r="AJ14" s="434"/>
      <c r="AK14" s="434"/>
      <c r="AL14" s="434"/>
      <c r="AM14" s="434"/>
      <c r="AP14" s="2"/>
      <c r="AQ14" s="427" t="s">
        <v>239</v>
      </c>
      <c r="AR14" s="427"/>
      <c r="AS14" s="3"/>
      <c r="AT14" s="427" t="s">
        <v>311</v>
      </c>
      <c r="AU14" s="427"/>
      <c r="AV14" s="427"/>
      <c r="AW14" s="427"/>
      <c r="AX14" s="3"/>
      <c r="AY14" s="432" t="s">
        <v>241</v>
      </c>
      <c r="AZ14" s="432"/>
      <c r="BA14" s="432"/>
      <c r="BB14" s="432"/>
      <c r="BC14" s="3"/>
      <c r="BD14" s="434" t="s">
        <v>242</v>
      </c>
      <c r="BE14" s="434"/>
      <c r="BF14" s="434"/>
      <c r="BG14" s="434"/>
      <c r="BH14" s="3"/>
      <c r="BI14" s="432" t="s">
        <v>243</v>
      </c>
      <c r="BJ14" s="432"/>
      <c r="BK14" s="432"/>
      <c r="BL14" s="432"/>
      <c r="BM14" s="432"/>
      <c r="BN14" s="432"/>
      <c r="BP14" s="3"/>
      <c r="BQ14" s="434" t="s">
        <v>244</v>
      </c>
      <c r="BR14" s="434"/>
      <c r="BS14" s="434"/>
      <c r="BT14" s="434"/>
      <c r="BU14" s="434"/>
      <c r="BV14" s="434"/>
      <c r="BX14" s="3"/>
      <c r="BY14" s="427" t="s">
        <v>118</v>
      </c>
      <c r="BZ14" s="427"/>
      <c r="CA14" s="427"/>
      <c r="CB14" s="427"/>
      <c r="CC14" s="324"/>
      <c r="CD14" s="324"/>
      <c r="CE14" s="3"/>
      <c r="CF14" s="427" t="s">
        <v>245</v>
      </c>
      <c r="CG14" s="427"/>
      <c r="CH14" s="97"/>
      <c r="CJ14" s="97"/>
      <c r="CK14" s="432" t="s">
        <v>246</v>
      </c>
      <c r="CL14" s="432"/>
      <c r="CM14" s="432"/>
      <c r="CN14" s="432"/>
      <c r="CO14" s="432"/>
      <c r="CP14" s="432"/>
      <c r="CQ14" s="97"/>
      <c r="CR14" s="434" t="s">
        <v>247</v>
      </c>
      <c r="CS14" s="434"/>
      <c r="CT14" s="434"/>
      <c r="CU14" s="434"/>
      <c r="CV14" s="434"/>
      <c r="CW14" s="434"/>
      <c r="CX14" s="97"/>
    </row>
    <row r="15" spans="1:102" x14ac:dyDescent="0.2">
      <c r="A15" s="20" t="s">
        <v>82</v>
      </c>
      <c r="B15" s="1" t="s">
        <v>248</v>
      </c>
      <c r="C15" s="1" t="s">
        <v>249</v>
      </c>
      <c r="D15" s="1" t="s">
        <v>250</v>
      </c>
      <c r="E15" s="1" t="s">
        <v>55</v>
      </c>
      <c r="F15" s="1" t="s">
        <v>251</v>
      </c>
      <c r="G15" s="1" t="s">
        <v>252</v>
      </c>
      <c r="H15" s="1" t="s">
        <v>253</v>
      </c>
      <c r="I15" s="1" t="s">
        <v>254</v>
      </c>
      <c r="J15" s="1" t="s">
        <v>255</v>
      </c>
      <c r="K15" s="1" t="s">
        <v>256</v>
      </c>
      <c r="L15" s="1" t="s">
        <v>257</v>
      </c>
      <c r="M15" s="328" t="s">
        <v>258</v>
      </c>
      <c r="N15" s="2"/>
      <c r="O15" s="1" t="s">
        <v>9</v>
      </c>
      <c r="P15" s="1" t="s">
        <v>13</v>
      </c>
      <c r="Q15" s="1" t="s">
        <v>10</v>
      </c>
      <c r="R15" s="1" t="s">
        <v>11</v>
      </c>
      <c r="S15" s="1" t="s">
        <v>12</v>
      </c>
      <c r="T15" s="2"/>
      <c r="U15" s="1">
        <v>250</v>
      </c>
      <c r="V15" s="1">
        <v>500</v>
      </c>
      <c r="W15" s="1">
        <v>1000</v>
      </c>
      <c r="X15" s="1">
        <v>2000</v>
      </c>
      <c r="Y15" s="1">
        <v>3000</v>
      </c>
      <c r="Z15" s="1">
        <v>4000</v>
      </c>
      <c r="AA15" s="1">
        <v>6000</v>
      </c>
      <c r="AB15" s="1">
        <v>8000</v>
      </c>
      <c r="AC15" s="54" t="s">
        <v>259</v>
      </c>
      <c r="AD15" s="53" t="s">
        <v>260</v>
      </c>
      <c r="AE15" s="2"/>
      <c r="AF15" s="1">
        <v>250</v>
      </c>
      <c r="AG15" s="1">
        <v>500</v>
      </c>
      <c r="AH15" s="1">
        <v>1000</v>
      </c>
      <c r="AI15" s="1">
        <v>2000</v>
      </c>
      <c r="AJ15" s="1">
        <v>3000</v>
      </c>
      <c r="AK15" s="1">
        <v>4000</v>
      </c>
      <c r="AL15" s="1">
        <v>6000</v>
      </c>
      <c r="AM15" s="1">
        <v>8000</v>
      </c>
      <c r="AN15" s="59" t="s">
        <v>259</v>
      </c>
      <c r="AO15" s="58" t="s">
        <v>260</v>
      </c>
      <c r="AP15" s="2"/>
      <c r="AQ15" s="6" t="s">
        <v>261</v>
      </c>
      <c r="AR15" s="7" t="s">
        <v>262</v>
      </c>
      <c r="AS15" s="3"/>
      <c r="AT15" s="6" t="s">
        <v>263</v>
      </c>
      <c r="AU15" s="6" t="s">
        <v>264</v>
      </c>
      <c r="AV15" s="7" t="s">
        <v>265</v>
      </c>
      <c r="AW15" s="7" t="s">
        <v>264</v>
      </c>
      <c r="AX15" s="3"/>
      <c r="AY15" s="1">
        <v>10000</v>
      </c>
      <c r="AZ15" s="1">
        <v>12500</v>
      </c>
      <c r="BA15" s="1">
        <v>14000</v>
      </c>
      <c r="BB15" s="1">
        <v>16000</v>
      </c>
      <c r="BC15" s="3"/>
      <c r="BD15" s="1">
        <v>10000</v>
      </c>
      <c r="BE15" s="1">
        <v>12500</v>
      </c>
      <c r="BF15" s="1">
        <v>14000</v>
      </c>
      <c r="BG15" s="1">
        <v>16000</v>
      </c>
      <c r="BH15" s="3"/>
      <c r="BI15" s="1">
        <v>250</v>
      </c>
      <c r="BJ15" s="1">
        <v>500</v>
      </c>
      <c r="BK15" s="1">
        <v>1000</v>
      </c>
      <c r="BL15" s="1">
        <v>2000</v>
      </c>
      <c r="BM15" s="1">
        <v>4000</v>
      </c>
      <c r="BN15" s="1">
        <v>8000</v>
      </c>
      <c r="BO15" s="8" t="s">
        <v>266</v>
      </c>
      <c r="BP15" s="3"/>
      <c r="BQ15" s="1">
        <v>250</v>
      </c>
      <c r="BR15" s="1">
        <v>500</v>
      </c>
      <c r="BS15" s="1">
        <v>1000</v>
      </c>
      <c r="BT15" s="1">
        <v>2000</v>
      </c>
      <c r="BU15" s="1">
        <v>4000</v>
      </c>
      <c r="BV15" s="1">
        <v>8000</v>
      </c>
      <c r="BW15" s="5" t="s">
        <v>266</v>
      </c>
      <c r="BX15" s="3"/>
      <c r="BY15" s="1" t="s">
        <v>267</v>
      </c>
      <c r="BZ15" s="1" t="s">
        <v>268</v>
      </c>
      <c r="CA15" s="1" t="s">
        <v>269</v>
      </c>
      <c r="CB15" s="1" t="s">
        <v>270</v>
      </c>
      <c r="CC15" s="1"/>
      <c r="CD15" s="1"/>
      <c r="CE15" s="3"/>
      <c r="CF15" s="329" t="s">
        <v>273</v>
      </c>
      <c r="CG15" s="330" t="s">
        <v>274</v>
      </c>
      <c r="CH15" s="97"/>
      <c r="CI15" s="20" t="s">
        <v>312</v>
      </c>
      <c r="CJ15" s="97"/>
      <c r="CK15" s="1">
        <v>250</v>
      </c>
      <c r="CL15" s="1">
        <v>500</v>
      </c>
      <c r="CM15" s="1">
        <v>1000</v>
      </c>
      <c r="CN15" s="1">
        <v>2000</v>
      </c>
      <c r="CO15" s="1">
        <v>4000</v>
      </c>
      <c r="CP15" s="1">
        <v>8000</v>
      </c>
      <c r="CQ15" s="97"/>
      <c r="CR15" s="1">
        <v>250</v>
      </c>
      <c r="CS15" s="1">
        <v>500</v>
      </c>
      <c r="CT15" s="1">
        <v>1000</v>
      </c>
      <c r="CU15" s="1">
        <v>2000</v>
      </c>
      <c r="CV15" s="1">
        <v>4000</v>
      </c>
      <c r="CW15" s="1">
        <v>8000</v>
      </c>
      <c r="CX15" s="97"/>
    </row>
    <row r="16" spans="1:102" x14ac:dyDescent="0.2">
      <c r="B16">
        <v>838934</v>
      </c>
      <c r="E16" t="s">
        <v>629</v>
      </c>
      <c r="F16" s="21">
        <v>46196</v>
      </c>
      <c r="L16" t="s">
        <v>630</v>
      </c>
      <c r="M16">
        <v>0</v>
      </c>
      <c r="N16" s="2"/>
      <c r="O16" s="328">
        <v>0</v>
      </c>
      <c r="P16" s="328">
        <v>0</v>
      </c>
      <c r="Q16" s="328">
        <v>0</v>
      </c>
      <c r="R16" s="328">
        <v>1</v>
      </c>
      <c r="S16" s="328">
        <v>0</v>
      </c>
      <c r="T16" s="2"/>
      <c r="U16">
        <v>5</v>
      </c>
      <c r="V16">
        <v>10</v>
      </c>
      <c r="W16">
        <v>0</v>
      </c>
      <c r="X16">
        <v>5</v>
      </c>
      <c r="Y16">
        <v>0</v>
      </c>
      <c r="Z16">
        <v>0</v>
      </c>
      <c r="AA16">
        <v>0</v>
      </c>
      <c r="AB16">
        <v>5</v>
      </c>
      <c r="AC16" s="70">
        <f>AVERAGE(V16:X16,Z16)</f>
        <v>3.75</v>
      </c>
      <c r="AD16" t="s">
        <v>41</v>
      </c>
      <c r="AE16" s="1"/>
      <c r="AF16">
        <v>5</v>
      </c>
      <c r="AG16">
        <v>10</v>
      </c>
      <c r="AH16">
        <v>5</v>
      </c>
      <c r="AI16">
        <v>0</v>
      </c>
      <c r="AJ16">
        <v>0</v>
      </c>
      <c r="AK16">
        <v>0</v>
      </c>
      <c r="AL16">
        <v>0</v>
      </c>
      <c r="AM16">
        <v>0</v>
      </c>
      <c r="AN16" s="70">
        <f>AVERAGE(AG16:AI16,AK16)</f>
        <v>3.75</v>
      </c>
      <c r="AO16" t="s">
        <v>41</v>
      </c>
      <c r="AP16" s="1"/>
      <c r="AQ16">
        <v>5</v>
      </c>
      <c r="AR16">
        <v>5</v>
      </c>
      <c r="AT16">
        <v>100</v>
      </c>
      <c r="AU16">
        <v>45</v>
      </c>
      <c r="AV16">
        <v>96</v>
      </c>
      <c r="AW16">
        <v>45</v>
      </c>
      <c r="AY16" s="4" t="s">
        <v>286</v>
      </c>
      <c r="AZ16" s="4" t="s">
        <v>286</v>
      </c>
      <c r="BA16" s="4" t="s">
        <v>286</v>
      </c>
      <c r="BB16" s="4" t="s">
        <v>286</v>
      </c>
      <c r="BD16" s="4" t="s">
        <v>286</v>
      </c>
      <c r="BE16" s="4" t="s">
        <v>286</v>
      </c>
      <c r="BF16" s="4" t="s">
        <v>286</v>
      </c>
      <c r="BG16" s="4" t="s">
        <v>286</v>
      </c>
      <c r="BI16">
        <v>80</v>
      </c>
      <c r="BJ16">
        <v>85</v>
      </c>
      <c r="BK16">
        <v>90</v>
      </c>
      <c r="BL16">
        <v>85</v>
      </c>
      <c r="BM16">
        <v>85</v>
      </c>
      <c r="BN16" s="225">
        <v>75</v>
      </c>
      <c r="BO16" s="70">
        <f>AVERAGE(BI16:BN16)</f>
        <v>83.333333333333329</v>
      </c>
      <c r="BQ16">
        <v>90</v>
      </c>
      <c r="BR16">
        <v>90</v>
      </c>
      <c r="BS16">
        <v>85</v>
      </c>
      <c r="BT16">
        <v>90</v>
      </c>
      <c r="BU16">
        <v>85</v>
      </c>
      <c r="BV16">
        <v>80</v>
      </c>
      <c r="BW16" s="70">
        <f>AVERAGE(BQ16:BV16)</f>
        <v>86.666666666666671</v>
      </c>
      <c r="BY16" s="453" t="s">
        <v>280</v>
      </c>
      <c r="BZ16" s="453"/>
      <c r="CA16" s="453"/>
      <c r="CB16" s="453"/>
      <c r="CC16" s="95"/>
      <c r="CD16" s="95"/>
      <c r="CF16" t="s">
        <v>281</v>
      </c>
      <c r="CG16" t="s">
        <v>281</v>
      </c>
      <c r="CH16" s="1"/>
      <c r="CI16" s="70">
        <v>83.333333333333329</v>
      </c>
      <c r="CJ16" s="1"/>
      <c r="CK16">
        <f t="shared" ref="CK16:CN18" si="3">BI16-U16</f>
        <v>75</v>
      </c>
      <c r="CL16">
        <f t="shared" si="3"/>
        <v>75</v>
      </c>
      <c r="CM16">
        <f t="shared" si="3"/>
        <v>90</v>
      </c>
      <c r="CN16">
        <f t="shared" si="3"/>
        <v>80</v>
      </c>
      <c r="CO16">
        <f>BM16-Z16</f>
        <v>85</v>
      </c>
      <c r="CP16">
        <f>BN16-AB16</f>
        <v>70</v>
      </c>
      <c r="CQ16" s="1"/>
      <c r="CR16">
        <f t="shared" ref="CR16:CU18" si="4">BQ16-AF16</f>
        <v>85</v>
      </c>
      <c r="CS16">
        <f t="shared" si="4"/>
        <v>80</v>
      </c>
      <c r="CT16">
        <f t="shared" si="4"/>
        <v>80</v>
      </c>
      <c r="CU16">
        <f t="shared" si="4"/>
        <v>90</v>
      </c>
      <c r="CV16">
        <f>BU16-AK16</f>
        <v>85</v>
      </c>
      <c r="CW16">
        <f>BV16-AM16</f>
        <v>80</v>
      </c>
      <c r="CX16" s="1"/>
    </row>
    <row r="17" spans="1:102" x14ac:dyDescent="0.2">
      <c r="B17">
        <v>677214</v>
      </c>
      <c r="E17" t="s">
        <v>631</v>
      </c>
      <c r="F17" s="21">
        <v>46196</v>
      </c>
      <c r="L17" t="s">
        <v>632</v>
      </c>
      <c r="N17" s="2"/>
      <c r="O17" s="328">
        <v>1</v>
      </c>
      <c r="P17" s="328">
        <v>0</v>
      </c>
      <c r="Q17" s="328">
        <v>0</v>
      </c>
      <c r="R17" s="328">
        <v>0</v>
      </c>
      <c r="S17" s="328">
        <v>0</v>
      </c>
      <c r="T17" s="2"/>
      <c r="U17">
        <v>10</v>
      </c>
      <c r="V17">
        <v>5</v>
      </c>
      <c r="W17">
        <v>0</v>
      </c>
      <c r="X17">
        <v>-5</v>
      </c>
      <c r="Y17">
        <v>5</v>
      </c>
      <c r="Z17">
        <v>0</v>
      </c>
      <c r="AA17">
        <v>-5</v>
      </c>
      <c r="AB17">
        <v>10</v>
      </c>
      <c r="AC17" s="70">
        <f>AVERAGE(V17:X17,Z17)</f>
        <v>0</v>
      </c>
      <c r="AD17" t="s">
        <v>41</v>
      </c>
      <c r="AE17" s="1"/>
      <c r="AF17">
        <v>10</v>
      </c>
      <c r="AG17">
        <v>5</v>
      </c>
      <c r="AH17">
        <v>5</v>
      </c>
      <c r="AI17">
        <v>5</v>
      </c>
      <c r="AJ17">
        <v>10</v>
      </c>
      <c r="AK17">
        <v>10</v>
      </c>
      <c r="AL17">
        <v>5</v>
      </c>
      <c r="AM17">
        <v>15</v>
      </c>
      <c r="AN17" s="70">
        <f>AVERAGE(AG17:AI17,AK17)</f>
        <v>6.25</v>
      </c>
      <c r="AO17" t="s">
        <v>41</v>
      </c>
      <c r="AP17" s="1"/>
      <c r="AQ17">
        <v>5</v>
      </c>
      <c r="AR17">
        <v>10</v>
      </c>
      <c r="AT17">
        <v>96</v>
      </c>
      <c r="AU17">
        <v>50</v>
      </c>
      <c r="AV17">
        <v>92</v>
      </c>
      <c r="AW17">
        <v>45</v>
      </c>
      <c r="AY17" s="4" t="s">
        <v>286</v>
      </c>
      <c r="AZ17" s="4" t="s">
        <v>286</v>
      </c>
      <c r="BA17" s="4" t="s">
        <v>286</v>
      </c>
      <c r="BB17" s="4" t="s">
        <v>286</v>
      </c>
      <c r="BD17" s="4" t="s">
        <v>286</v>
      </c>
      <c r="BE17" s="4" t="s">
        <v>286</v>
      </c>
      <c r="BF17" s="4" t="s">
        <v>286</v>
      </c>
      <c r="BG17" s="4" t="s">
        <v>286</v>
      </c>
      <c r="BI17" s="225">
        <v>70</v>
      </c>
      <c r="BJ17" s="225">
        <v>75</v>
      </c>
      <c r="BK17">
        <v>90</v>
      </c>
      <c r="BL17">
        <v>85</v>
      </c>
      <c r="BM17">
        <v>80</v>
      </c>
      <c r="BN17">
        <v>85</v>
      </c>
      <c r="BO17" s="70">
        <f>AVERAGE(BI17:BN17)</f>
        <v>80.833333333333329</v>
      </c>
      <c r="BQ17" s="225">
        <v>65</v>
      </c>
      <c r="BR17" s="225">
        <v>70</v>
      </c>
      <c r="BS17" s="225">
        <v>75</v>
      </c>
      <c r="BT17">
        <v>80</v>
      </c>
      <c r="BU17">
        <v>95</v>
      </c>
      <c r="BV17">
        <v>100</v>
      </c>
      <c r="BW17" s="70">
        <f>AVERAGE(BQ17:BV17)</f>
        <v>80.833333333333329</v>
      </c>
      <c r="BY17" s="453" t="s">
        <v>280</v>
      </c>
      <c r="BZ17" s="453"/>
      <c r="CA17" s="453"/>
      <c r="CB17" s="453"/>
      <c r="CC17" s="95"/>
      <c r="CD17" s="95"/>
      <c r="CF17" t="s">
        <v>281</v>
      </c>
      <c r="CG17" t="s">
        <v>281</v>
      </c>
      <c r="CH17" s="1"/>
      <c r="CI17" s="70">
        <v>80.833333333333329</v>
      </c>
      <c r="CJ17" s="1"/>
      <c r="CK17">
        <f t="shared" si="3"/>
        <v>60</v>
      </c>
      <c r="CL17">
        <f t="shared" si="3"/>
        <v>70</v>
      </c>
      <c r="CM17">
        <f t="shared" si="3"/>
        <v>90</v>
      </c>
      <c r="CN17">
        <f t="shared" si="3"/>
        <v>90</v>
      </c>
      <c r="CO17">
        <f>BM17-Z17</f>
        <v>80</v>
      </c>
      <c r="CP17">
        <f>BN17-AB17</f>
        <v>75</v>
      </c>
      <c r="CQ17" s="1"/>
      <c r="CR17">
        <f t="shared" si="4"/>
        <v>55</v>
      </c>
      <c r="CS17">
        <f t="shared" si="4"/>
        <v>65</v>
      </c>
      <c r="CT17">
        <f t="shared" si="4"/>
        <v>70</v>
      </c>
      <c r="CU17">
        <f t="shared" si="4"/>
        <v>75</v>
      </c>
      <c r="CV17">
        <f>BU17-AK17</f>
        <v>85</v>
      </c>
      <c r="CW17">
        <f>BV17-AM17</f>
        <v>85</v>
      </c>
      <c r="CX17" s="1"/>
    </row>
    <row r="18" spans="1:102" x14ac:dyDescent="0.2">
      <c r="B18">
        <v>518829</v>
      </c>
      <c r="E18" t="s">
        <v>633</v>
      </c>
      <c r="F18" s="21">
        <v>46198</v>
      </c>
      <c r="K18" t="s">
        <v>634</v>
      </c>
      <c r="L18" t="s">
        <v>635</v>
      </c>
      <c r="M18">
        <v>0</v>
      </c>
      <c r="N18" s="2"/>
      <c r="O18" s="328">
        <v>0</v>
      </c>
      <c r="P18" s="101">
        <v>0</v>
      </c>
      <c r="Q18" s="101">
        <v>0</v>
      </c>
      <c r="R18" s="101">
        <v>1</v>
      </c>
      <c r="S18" s="328">
        <v>0</v>
      </c>
      <c r="T18" s="2"/>
      <c r="U18">
        <v>5</v>
      </c>
      <c r="V18">
        <v>0</v>
      </c>
      <c r="W18">
        <v>5</v>
      </c>
      <c r="X18">
        <v>-5</v>
      </c>
      <c r="Y18">
        <v>5</v>
      </c>
      <c r="Z18">
        <v>5</v>
      </c>
      <c r="AA18">
        <v>-5</v>
      </c>
      <c r="AB18">
        <v>0</v>
      </c>
      <c r="AC18" s="70">
        <f>AVERAGE(V18:X18,Z18)</f>
        <v>1.25</v>
      </c>
      <c r="AD18" t="s">
        <v>41</v>
      </c>
      <c r="AE18" s="1"/>
      <c r="AF18">
        <v>0</v>
      </c>
      <c r="AG18">
        <v>-5</v>
      </c>
      <c r="AH18">
        <v>5</v>
      </c>
      <c r="AI18">
        <v>-5</v>
      </c>
      <c r="AJ18">
        <v>10</v>
      </c>
      <c r="AK18">
        <v>0</v>
      </c>
      <c r="AL18">
        <v>-5</v>
      </c>
      <c r="AM18">
        <v>-5</v>
      </c>
      <c r="AN18" s="70">
        <f>AVERAGE(AG18:AI18,AK18)</f>
        <v>-1.25</v>
      </c>
      <c r="AO18" t="s">
        <v>41</v>
      </c>
      <c r="AP18" s="1"/>
      <c r="AQ18">
        <v>5</v>
      </c>
      <c r="AR18">
        <v>0</v>
      </c>
      <c r="AT18">
        <v>96</v>
      </c>
      <c r="AU18">
        <v>45</v>
      </c>
      <c r="AV18">
        <v>100</v>
      </c>
      <c r="AW18">
        <v>40</v>
      </c>
      <c r="AY18" s="4" t="s">
        <v>286</v>
      </c>
      <c r="AZ18" s="4" t="s">
        <v>286</v>
      </c>
      <c r="BA18" s="4" t="s">
        <v>286</v>
      </c>
      <c r="BB18" s="4" t="s">
        <v>286</v>
      </c>
      <c r="BD18" s="4" t="s">
        <v>286</v>
      </c>
      <c r="BE18" s="4" t="s">
        <v>286</v>
      </c>
      <c r="BF18" s="4" t="s">
        <v>286</v>
      </c>
      <c r="BG18" s="4" t="s">
        <v>286</v>
      </c>
      <c r="BI18">
        <v>80</v>
      </c>
      <c r="BJ18" s="225">
        <v>75</v>
      </c>
      <c r="BK18" s="225">
        <v>75</v>
      </c>
      <c r="BL18" s="225">
        <v>65</v>
      </c>
      <c r="BM18" s="225">
        <v>60</v>
      </c>
      <c r="BN18" s="225">
        <v>65</v>
      </c>
      <c r="BO18" s="69">
        <f>AVERAGE(BI18:BN18)</f>
        <v>70</v>
      </c>
      <c r="BQ18" s="225">
        <v>70</v>
      </c>
      <c r="BR18" s="225">
        <v>60</v>
      </c>
      <c r="BS18" s="225">
        <v>70</v>
      </c>
      <c r="BT18" s="225">
        <v>65</v>
      </c>
      <c r="BU18" s="225">
        <v>75</v>
      </c>
      <c r="BV18" s="225">
        <v>65</v>
      </c>
      <c r="BW18" s="69">
        <f>AVERAGE(BQ18:BV18)</f>
        <v>67.5</v>
      </c>
      <c r="BY18" s="453" t="s">
        <v>280</v>
      </c>
      <c r="BZ18" s="453"/>
      <c r="CA18" s="453"/>
      <c r="CB18" s="453"/>
      <c r="CC18" s="95"/>
      <c r="CD18" s="95"/>
      <c r="CF18" t="s">
        <v>281</v>
      </c>
      <c r="CG18" t="s">
        <v>281</v>
      </c>
      <c r="CH18" s="1"/>
      <c r="CI18" s="69">
        <v>67.5</v>
      </c>
      <c r="CJ18" s="1"/>
      <c r="CK18">
        <f t="shared" si="3"/>
        <v>75</v>
      </c>
      <c r="CL18">
        <f t="shared" si="3"/>
        <v>75</v>
      </c>
      <c r="CM18">
        <f t="shared" si="3"/>
        <v>70</v>
      </c>
      <c r="CN18">
        <f t="shared" si="3"/>
        <v>70</v>
      </c>
      <c r="CO18">
        <f>BM18-Z18</f>
        <v>55</v>
      </c>
      <c r="CP18">
        <f>BN18-AB18</f>
        <v>65</v>
      </c>
      <c r="CQ18" s="1"/>
      <c r="CR18">
        <f t="shared" si="4"/>
        <v>70</v>
      </c>
      <c r="CS18">
        <f t="shared" si="4"/>
        <v>65</v>
      </c>
      <c r="CT18">
        <f t="shared" si="4"/>
        <v>65</v>
      </c>
      <c r="CU18">
        <f t="shared" si="4"/>
        <v>70</v>
      </c>
      <c r="CV18">
        <f>BU18-AK18</f>
        <v>75</v>
      </c>
      <c r="CW18">
        <f>BV18-AM18</f>
        <v>70</v>
      </c>
      <c r="CX18" s="1"/>
    </row>
    <row r="19" spans="1:102" x14ac:dyDescent="0.2">
      <c r="N19" s="2"/>
      <c r="T19" s="2"/>
    </row>
    <row r="24" spans="1:102" x14ac:dyDescent="0.2">
      <c r="A24" s="115" t="s">
        <v>636</v>
      </c>
      <c r="B24" s="115"/>
      <c r="C24" s="327" t="s">
        <v>122</v>
      </c>
      <c r="D24" s="115"/>
      <c r="E24" s="327" t="s">
        <v>125</v>
      </c>
      <c r="F24" s="115"/>
      <c r="G24" s="451" t="s">
        <v>126</v>
      </c>
      <c r="H24" s="451"/>
      <c r="I24" s="451"/>
      <c r="J24" s="451"/>
      <c r="K24" s="115"/>
      <c r="L24" s="451" t="s">
        <v>319</v>
      </c>
      <c r="M24" s="451"/>
      <c r="N24" s="451"/>
      <c r="O24" s="451"/>
      <c r="P24" s="116"/>
      <c r="Q24" s="115" t="s">
        <v>320</v>
      </c>
      <c r="R24" s="115"/>
      <c r="S24" s="117"/>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row>
    <row r="25" spans="1:102" x14ac:dyDescent="0.2">
      <c r="A25" s="118"/>
      <c r="B25" s="118"/>
      <c r="C25" s="118" t="s">
        <v>323</v>
      </c>
      <c r="D25" s="119" t="s">
        <v>324</v>
      </c>
      <c r="E25" s="118" t="s">
        <v>323</v>
      </c>
      <c r="F25" s="118" t="s">
        <v>324</v>
      </c>
      <c r="G25" s="118" t="s">
        <v>325</v>
      </c>
      <c r="H25" s="118" t="s">
        <v>326</v>
      </c>
      <c r="I25" s="118" t="s">
        <v>327</v>
      </c>
      <c r="J25" s="118" t="s">
        <v>323</v>
      </c>
      <c r="K25" s="120" t="s">
        <v>328</v>
      </c>
      <c r="L25" s="118" t="s">
        <v>329</v>
      </c>
      <c r="M25" s="118" t="s">
        <v>330</v>
      </c>
      <c r="N25" s="118" t="s">
        <v>331</v>
      </c>
      <c r="O25" s="121" t="s">
        <v>323</v>
      </c>
      <c r="P25" s="122"/>
      <c r="Q25" s="122" t="s">
        <v>332</v>
      </c>
      <c r="R25" s="122" t="s">
        <v>333</v>
      </c>
      <c r="S25" s="122" t="s">
        <v>334</v>
      </c>
      <c r="T25" s="122" t="s">
        <v>335</v>
      </c>
      <c r="U25" s="122"/>
      <c r="V25" s="122"/>
      <c r="W25" s="122"/>
      <c r="X25" s="122"/>
      <c r="Y25" s="122"/>
      <c r="Z25" s="122"/>
      <c r="AA25" s="122"/>
      <c r="AB25" s="122"/>
      <c r="AC25" s="122"/>
      <c r="AD25" s="122"/>
      <c r="AE25" s="122"/>
      <c r="AF25" s="122"/>
      <c r="AG25" s="122"/>
      <c r="AH25" s="122"/>
      <c r="AI25" s="122"/>
      <c r="AJ25" s="122"/>
      <c r="AK25" s="122"/>
      <c r="AL25" s="122"/>
      <c r="AM25" s="122"/>
      <c r="AN25" s="122"/>
      <c r="AO25" s="122"/>
    </row>
    <row r="26" spans="1:102" s="112" customFormat="1" x14ac:dyDescent="0.2">
      <c r="A26" s="125" t="s">
        <v>624</v>
      </c>
      <c r="B26" s="126" t="s">
        <v>9</v>
      </c>
      <c r="C26" s="449" t="s">
        <v>285</v>
      </c>
      <c r="D26" s="449"/>
      <c r="E26" s="127">
        <v>1</v>
      </c>
      <c r="F26" s="127" t="s">
        <v>349</v>
      </c>
      <c r="G26" s="127">
        <v>2</v>
      </c>
      <c r="H26" s="127">
        <v>2</v>
      </c>
      <c r="I26" s="127">
        <v>2</v>
      </c>
      <c r="J26" s="127">
        <v>6</v>
      </c>
      <c r="K26" s="127" t="s">
        <v>41</v>
      </c>
      <c r="L26" s="449" t="s">
        <v>285</v>
      </c>
      <c r="M26" s="449"/>
      <c r="N26" s="449"/>
      <c r="O26" s="449"/>
      <c r="P26" s="128"/>
      <c r="Q26" s="127">
        <v>2</v>
      </c>
      <c r="R26" s="127">
        <v>1</v>
      </c>
      <c r="S26" s="129" t="s">
        <v>637</v>
      </c>
      <c r="T26" s="129"/>
      <c r="U26" s="128"/>
      <c r="V26" s="128"/>
      <c r="W26" s="128"/>
      <c r="X26" s="128"/>
      <c r="Y26" s="128"/>
      <c r="Z26" s="128"/>
      <c r="AA26" s="128"/>
      <c r="AB26" s="128"/>
      <c r="AC26" s="128"/>
      <c r="AD26" s="128"/>
      <c r="AE26" s="128"/>
      <c r="AF26" s="128"/>
      <c r="AG26" s="128"/>
      <c r="AH26" s="128"/>
      <c r="AI26" s="128"/>
      <c r="AJ26" s="128"/>
      <c r="AK26" s="128"/>
      <c r="AL26" s="128"/>
      <c r="AM26" s="128"/>
      <c r="AN26" s="128"/>
      <c r="AO26" s="128"/>
    </row>
    <row r="27" spans="1:102" s="112" customFormat="1" x14ac:dyDescent="0.2">
      <c r="A27" s="125" t="s">
        <v>626</v>
      </c>
      <c r="B27" s="126" t="s">
        <v>9</v>
      </c>
      <c r="C27" s="449" t="s">
        <v>285</v>
      </c>
      <c r="D27" s="449"/>
      <c r="E27" s="127">
        <v>4</v>
      </c>
      <c r="F27" s="127" t="s">
        <v>349</v>
      </c>
      <c r="G27" s="127">
        <v>14</v>
      </c>
      <c r="H27" s="127">
        <v>4</v>
      </c>
      <c r="I27" s="127">
        <v>4</v>
      </c>
      <c r="J27" s="127">
        <v>22</v>
      </c>
      <c r="K27" s="127" t="s">
        <v>41</v>
      </c>
      <c r="L27" s="449" t="s">
        <v>285</v>
      </c>
      <c r="M27" s="449"/>
      <c r="N27" s="449"/>
      <c r="O27" s="449"/>
      <c r="P27" s="128"/>
      <c r="Q27" s="127">
        <v>3</v>
      </c>
      <c r="R27" s="127">
        <v>2</v>
      </c>
      <c r="S27" s="127">
        <v>1</v>
      </c>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row>
    <row r="28" spans="1:102" s="75" customFormat="1" x14ac:dyDescent="0.2">
      <c r="A28" s="75" t="s">
        <v>104</v>
      </c>
      <c r="B28" s="75" t="s">
        <v>638</v>
      </c>
      <c r="C28" s="331">
        <v>18</v>
      </c>
      <c r="D28" s="331" t="s">
        <v>355</v>
      </c>
      <c r="E28" s="75">
        <v>9</v>
      </c>
      <c r="G28" s="331">
        <v>18</v>
      </c>
      <c r="H28" s="331">
        <v>4</v>
      </c>
      <c r="I28" s="331">
        <v>4</v>
      </c>
      <c r="J28" s="331">
        <v>26</v>
      </c>
      <c r="K28" s="331" t="s">
        <v>41</v>
      </c>
      <c r="L28" s="331">
        <v>40.53</v>
      </c>
      <c r="M28" s="331">
        <v>32.380000000000003</v>
      </c>
      <c r="N28" s="331">
        <v>28.75</v>
      </c>
      <c r="O28" s="331">
        <v>36.369999999999997</v>
      </c>
      <c r="Q28" s="331">
        <v>6</v>
      </c>
      <c r="R28" s="331">
        <v>2</v>
      </c>
      <c r="S28" s="331">
        <v>2</v>
      </c>
    </row>
  </sheetData>
  <mergeCells count="39">
    <mergeCell ref="CF14:CG14"/>
    <mergeCell ref="CK14:CP14"/>
    <mergeCell ref="CR14:CW14"/>
    <mergeCell ref="BY16:CB16"/>
    <mergeCell ref="BY17:CB17"/>
    <mergeCell ref="BY18:CB18"/>
    <mergeCell ref="AC13:AE13"/>
    <mergeCell ref="O14:S14"/>
    <mergeCell ref="BX3:BY3"/>
    <mergeCell ref="U14:AB14"/>
    <mergeCell ref="AF14:AM14"/>
    <mergeCell ref="AQ14:AR14"/>
    <mergeCell ref="AT14:AW14"/>
    <mergeCell ref="AY14:BB14"/>
    <mergeCell ref="BD14:BG14"/>
    <mergeCell ref="BI14:BN14"/>
    <mergeCell ref="BQ14:BV14"/>
    <mergeCell ref="BY14:CB14"/>
    <mergeCell ref="AC2:AE2"/>
    <mergeCell ref="BS7:BV7"/>
    <mergeCell ref="G24:J24"/>
    <mergeCell ref="L24:O24"/>
    <mergeCell ref="I3:M3"/>
    <mergeCell ref="O3:V3"/>
    <mergeCell ref="Z3:AG3"/>
    <mergeCell ref="AK3:AL3"/>
    <mergeCell ref="AN3:AQ3"/>
    <mergeCell ref="AS3:AV3"/>
    <mergeCell ref="AX3:BA3"/>
    <mergeCell ref="BS5:BV5"/>
    <mergeCell ref="BS6:BV6"/>
    <mergeCell ref="BC3:BH3"/>
    <mergeCell ref="BK3:BP3"/>
    <mergeCell ref="BS3:BV3"/>
    <mergeCell ref="L1:M1"/>
    <mergeCell ref="C26:D26"/>
    <mergeCell ref="L26:O26"/>
    <mergeCell ref="C27:D27"/>
    <mergeCell ref="L27:O27"/>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5401-04DA-4228-BBF4-FF48ED1AEE52}">
  <dimension ref="A1:CT33"/>
  <sheetViews>
    <sheetView zoomScale="140" zoomScaleNormal="140" workbookViewId="0"/>
  </sheetViews>
  <sheetFormatPr baseColWidth="10" defaultColWidth="11" defaultRowHeight="16" x14ac:dyDescent="0.2"/>
  <cols>
    <col min="7" max="7" width="14" customWidth="1"/>
  </cols>
  <sheetData>
    <row r="1" spans="1:98" x14ac:dyDescent="0.2">
      <c r="L1" s="448" t="s">
        <v>164</v>
      </c>
      <c r="M1" s="448"/>
    </row>
    <row r="2" spans="1:98" s="97" customFormat="1" ht="16.5" customHeight="1" x14ac:dyDescent="0.2">
      <c r="AC2" s="450"/>
      <c r="AD2" s="450"/>
      <c r="AE2" s="450"/>
      <c r="AF2" s="325"/>
      <c r="AG2" s="325"/>
      <c r="AH2" s="325"/>
      <c r="AI2" s="325"/>
      <c r="AJ2" s="325"/>
      <c r="BE2" s="96"/>
      <c r="BH2" s="96"/>
      <c r="BO2" s="96"/>
      <c r="BT2" s="96"/>
      <c r="BY2" s="96"/>
      <c r="CG2" s="96"/>
      <c r="CO2" s="96"/>
      <c r="CT2" s="96"/>
    </row>
    <row r="3" spans="1:98" x14ac:dyDescent="0.2">
      <c r="H3" s="2"/>
      <c r="I3" s="435" t="s">
        <v>109</v>
      </c>
      <c r="J3" s="435"/>
      <c r="K3" s="435"/>
      <c r="L3" s="435"/>
      <c r="M3" s="435"/>
      <c r="N3" s="2"/>
      <c r="O3" s="432" t="s">
        <v>237</v>
      </c>
      <c r="P3" s="432"/>
      <c r="Q3" s="432"/>
      <c r="R3" s="432"/>
      <c r="S3" s="432"/>
      <c r="T3" s="432"/>
      <c r="U3" s="432"/>
      <c r="V3" s="432"/>
      <c r="Y3" s="2"/>
      <c r="Z3" s="434" t="s">
        <v>238</v>
      </c>
      <c r="AA3" s="434"/>
      <c r="AB3" s="434"/>
      <c r="AC3" s="434"/>
      <c r="AD3" s="434"/>
      <c r="AE3" s="434"/>
      <c r="AF3" s="434"/>
      <c r="AG3" s="434"/>
      <c r="AJ3" s="2"/>
      <c r="AK3" s="427" t="s">
        <v>239</v>
      </c>
      <c r="AL3" s="427"/>
      <c r="AM3" s="3"/>
      <c r="AN3" s="427" t="s">
        <v>240</v>
      </c>
      <c r="AO3" s="427"/>
      <c r="AP3" s="427"/>
      <c r="AQ3" s="427"/>
      <c r="AR3" s="3"/>
      <c r="AS3" s="432" t="s">
        <v>241</v>
      </c>
      <c r="AT3" s="432"/>
      <c r="AU3" s="432"/>
      <c r="AV3" s="432"/>
      <c r="AW3" s="3"/>
      <c r="AX3" s="434" t="s">
        <v>242</v>
      </c>
      <c r="AY3" s="434"/>
      <c r="AZ3" s="434"/>
      <c r="BA3" s="434"/>
      <c r="BB3" s="3"/>
      <c r="BC3" s="432" t="s">
        <v>243</v>
      </c>
      <c r="BD3" s="432"/>
      <c r="BE3" s="432"/>
      <c r="BF3" s="432"/>
      <c r="BG3" s="432"/>
      <c r="BH3" s="432"/>
      <c r="BJ3" s="3"/>
      <c r="BK3" s="434" t="s">
        <v>244</v>
      </c>
      <c r="BL3" s="434"/>
      <c r="BM3" s="434"/>
      <c r="BN3" s="434"/>
      <c r="BO3" s="434"/>
      <c r="BP3" s="434"/>
      <c r="BR3" s="3"/>
      <c r="BS3" s="427" t="s">
        <v>118</v>
      </c>
      <c r="BT3" s="427"/>
      <c r="BU3" s="427"/>
      <c r="BV3" s="427"/>
      <c r="BW3" s="3"/>
      <c r="BX3" s="427" t="s">
        <v>245</v>
      </c>
      <c r="BY3" s="427"/>
    </row>
    <row r="4" spans="1:98" x14ac:dyDescent="0.2">
      <c r="A4" s="20" t="s">
        <v>82</v>
      </c>
      <c r="B4" s="1" t="s">
        <v>108</v>
      </c>
      <c r="C4" s="1" t="s">
        <v>248</v>
      </c>
      <c r="D4" s="1" t="s">
        <v>250</v>
      </c>
      <c r="E4" s="1" t="s">
        <v>251</v>
      </c>
      <c r="F4" s="1" t="s">
        <v>639</v>
      </c>
      <c r="G4" s="1" t="s">
        <v>256</v>
      </c>
      <c r="H4" s="2"/>
      <c r="I4" s="1" t="s">
        <v>9</v>
      </c>
      <c r="J4" s="1" t="s">
        <v>13</v>
      </c>
      <c r="K4" s="1" t="s">
        <v>10</v>
      </c>
      <c r="L4" s="1" t="s">
        <v>11</v>
      </c>
      <c r="M4" s="1" t="s">
        <v>12</v>
      </c>
      <c r="N4" s="2"/>
      <c r="O4" s="1">
        <v>250</v>
      </c>
      <c r="P4" s="1">
        <v>500</v>
      </c>
      <c r="Q4" s="1">
        <v>1000</v>
      </c>
      <c r="R4" s="1">
        <v>2000</v>
      </c>
      <c r="S4" s="1">
        <v>3000</v>
      </c>
      <c r="T4" s="1">
        <v>4000</v>
      </c>
      <c r="U4" s="1">
        <v>6000</v>
      </c>
      <c r="V4" s="1">
        <v>8000</v>
      </c>
      <c r="W4" s="54" t="s">
        <v>259</v>
      </c>
      <c r="X4" s="53" t="s">
        <v>260</v>
      </c>
      <c r="Y4" s="2"/>
      <c r="Z4" s="1">
        <v>250</v>
      </c>
      <c r="AA4" s="1">
        <v>500</v>
      </c>
      <c r="AB4" s="1">
        <v>1000</v>
      </c>
      <c r="AC4" s="1">
        <v>2000</v>
      </c>
      <c r="AD4" s="1">
        <v>3000</v>
      </c>
      <c r="AE4" s="1">
        <v>4000</v>
      </c>
      <c r="AF4" s="1">
        <v>6000</v>
      </c>
      <c r="AG4" s="1">
        <v>8000</v>
      </c>
      <c r="AH4" s="59" t="s">
        <v>259</v>
      </c>
      <c r="AI4" s="58" t="s">
        <v>260</v>
      </c>
      <c r="AJ4" s="2"/>
      <c r="AK4" s="6" t="s">
        <v>261</v>
      </c>
      <c r="AL4" s="7" t="s">
        <v>262</v>
      </c>
      <c r="AM4" s="3"/>
      <c r="AN4" s="6" t="s">
        <v>263</v>
      </c>
      <c r="AO4" s="6" t="s">
        <v>264</v>
      </c>
      <c r="AP4" s="7" t="s">
        <v>265</v>
      </c>
      <c r="AQ4" s="7" t="s">
        <v>264</v>
      </c>
      <c r="AR4" s="3"/>
      <c r="AS4" s="1">
        <v>10000</v>
      </c>
      <c r="AT4" s="1">
        <v>12500</v>
      </c>
      <c r="AU4" s="1">
        <v>14000</v>
      </c>
      <c r="AV4" s="1">
        <v>16000</v>
      </c>
      <c r="AW4" s="3"/>
      <c r="AX4" s="1">
        <v>10000</v>
      </c>
      <c r="AY4" s="1">
        <v>12500</v>
      </c>
      <c r="AZ4" s="1">
        <v>14000</v>
      </c>
      <c r="BA4" s="1">
        <v>16000</v>
      </c>
      <c r="BB4" s="3"/>
      <c r="BC4" s="1">
        <v>250</v>
      </c>
      <c r="BD4" s="1">
        <v>500</v>
      </c>
      <c r="BE4" s="1">
        <v>1000</v>
      </c>
      <c r="BF4" s="1">
        <v>2000</v>
      </c>
      <c r="BG4" s="1">
        <v>4000</v>
      </c>
      <c r="BH4" s="1">
        <v>8000</v>
      </c>
      <c r="BI4" s="8" t="s">
        <v>266</v>
      </c>
      <c r="BJ4" s="3"/>
      <c r="BK4" s="1">
        <v>250</v>
      </c>
      <c r="BL4" s="1">
        <v>500</v>
      </c>
      <c r="BM4" s="1">
        <v>1000</v>
      </c>
      <c r="BN4" s="1">
        <v>2000</v>
      </c>
      <c r="BO4" s="1">
        <v>4000</v>
      </c>
      <c r="BP4" s="1">
        <v>8000</v>
      </c>
      <c r="BQ4" s="5" t="s">
        <v>266</v>
      </c>
      <c r="BR4" s="3"/>
      <c r="BS4" s="1" t="s">
        <v>267</v>
      </c>
      <c r="BT4" s="1" t="s">
        <v>268</v>
      </c>
      <c r="BU4" s="1" t="s">
        <v>269</v>
      </c>
      <c r="BV4" s="1" t="s">
        <v>270</v>
      </c>
      <c r="BW4" s="3"/>
      <c r="BX4" s="329" t="s">
        <v>273</v>
      </c>
      <c r="BY4" s="330" t="s">
        <v>274</v>
      </c>
    </row>
    <row r="5" spans="1:98" x14ac:dyDescent="0.2">
      <c r="A5" s="44"/>
      <c r="B5" s="299" t="s">
        <v>640</v>
      </c>
      <c r="C5" s="299">
        <v>529031</v>
      </c>
      <c r="E5" s="21">
        <v>46163</v>
      </c>
      <c r="F5" s="1" t="s">
        <v>641</v>
      </c>
      <c r="G5" s="299"/>
      <c r="H5" s="2"/>
      <c r="I5" s="299">
        <v>0</v>
      </c>
      <c r="J5" s="276">
        <v>1</v>
      </c>
      <c r="K5" s="276">
        <v>0</v>
      </c>
      <c r="L5" s="276">
        <v>1</v>
      </c>
      <c r="M5" s="276">
        <v>0</v>
      </c>
      <c r="N5" s="2"/>
      <c r="O5" s="276">
        <v>25</v>
      </c>
      <c r="P5" s="351">
        <v>30</v>
      </c>
      <c r="Q5" s="276">
        <v>25</v>
      </c>
      <c r="R5" s="351">
        <v>35</v>
      </c>
      <c r="S5" s="351">
        <v>45</v>
      </c>
      <c r="T5" s="351">
        <v>40</v>
      </c>
      <c r="U5" s="351">
        <v>50</v>
      </c>
      <c r="V5" s="351">
        <v>55</v>
      </c>
      <c r="W5" s="352">
        <f>AVERAGE(P5:R5,T5)</f>
        <v>32.5</v>
      </c>
      <c r="X5" s="101" t="s">
        <v>46</v>
      </c>
      <c r="Y5" s="2"/>
      <c r="Z5">
        <v>25</v>
      </c>
      <c r="AA5">
        <v>25</v>
      </c>
      <c r="AB5">
        <v>25</v>
      </c>
      <c r="AC5" s="225">
        <v>40</v>
      </c>
      <c r="AD5" s="225">
        <v>45</v>
      </c>
      <c r="AE5" s="225">
        <v>45</v>
      </c>
      <c r="AF5" s="225">
        <v>50</v>
      </c>
      <c r="AG5" s="225">
        <v>50</v>
      </c>
      <c r="AH5" s="350">
        <f>AVERAGE(AA5:AC5,AE5)</f>
        <v>33.75</v>
      </c>
      <c r="AI5" s="101" t="s">
        <v>46</v>
      </c>
      <c r="AJ5" s="2"/>
      <c r="AK5">
        <v>35</v>
      </c>
      <c r="AL5">
        <v>30</v>
      </c>
      <c r="AM5" s="3"/>
      <c r="AN5" s="441" t="s">
        <v>286</v>
      </c>
      <c r="AO5" s="441"/>
      <c r="AP5" s="441"/>
      <c r="AQ5" s="441"/>
      <c r="AR5" s="3"/>
      <c r="AS5" s="353">
        <v>60</v>
      </c>
      <c r="AT5" s="353">
        <v>80</v>
      </c>
      <c r="AU5" s="229">
        <v>80</v>
      </c>
      <c r="AV5" s="229">
        <v>60</v>
      </c>
      <c r="AW5" s="3"/>
      <c r="AX5" s="300">
        <v>55</v>
      </c>
      <c r="AY5" s="300">
        <v>65</v>
      </c>
      <c r="AZ5" s="354">
        <v>80</v>
      </c>
      <c r="BA5" s="354">
        <v>60</v>
      </c>
      <c r="BB5" s="3"/>
      <c r="BC5" s="355">
        <v>40</v>
      </c>
      <c r="BD5" s="355">
        <v>40</v>
      </c>
      <c r="BE5" s="355">
        <v>45</v>
      </c>
      <c r="BF5" s="355">
        <v>45</v>
      </c>
      <c r="BG5" s="355">
        <v>50</v>
      </c>
      <c r="BH5" s="355">
        <v>60</v>
      </c>
      <c r="BI5" s="356">
        <f>AVERAGE(BC5:BH5)</f>
        <v>46.666666666666664</v>
      </c>
      <c r="BJ5" s="3"/>
      <c r="BK5" s="456" t="s">
        <v>286</v>
      </c>
      <c r="BL5" s="456"/>
      <c r="BM5" s="456"/>
      <c r="BN5" s="456"/>
      <c r="BO5" s="456"/>
      <c r="BP5" s="456"/>
      <c r="BQ5" s="456"/>
      <c r="BR5" s="3"/>
      <c r="BS5" s="433" t="s">
        <v>280</v>
      </c>
      <c r="BT5" s="433"/>
      <c r="BU5" s="433"/>
      <c r="BV5" s="433"/>
      <c r="BW5" s="3"/>
      <c r="BX5" t="s">
        <v>281</v>
      </c>
      <c r="BY5" t="s">
        <v>281</v>
      </c>
    </row>
    <row r="6" spans="1:98" x14ac:dyDescent="0.2">
      <c r="A6" s="44"/>
      <c r="B6" s="1"/>
      <c r="C6" s="1"/>
      <c r="E6" s="21"/>
      <c r="F6" s="1"/>
      <c r="G6" s="1"/>
      <c r="H6" s="2"/>
      <c r="I6" s="299"/>
      <c r="J6" s="276"/>
      <c r="K6" s="276"/>
      <c r="L6" s="276"/>
      <c r="M6" s="276"/>
      <c r="N6" s="2"/>
      <c r="W6" s="105"/>
      <c r="X6" s="101"/>
      <c r="Y6" s="2"/>
      <c r="AH6" s="350"/>
      <c r="AI6" s="101"/>
      <c r="AJ6" s="2"/>
      <c r="AM6" s="3"/>
      <c r="AN6" s="6"/>
      <c r="AO6" s="6"/>
      <c r="AP6" s="7"/>
      <c r="AQ6" s="7"/>
      <c r="AR6" s="3"/>
      <c r="AS6" s="11"/>
      <c r="AT6" s="11"/>
      <c r="AU6" s="11"/>
      <c r="AV6" s="11"/>
      <c r="AW6" s="3"/>
      <c r="BB6" s="3"/>
      <c r="BI6" s="357"/>
      <c r="BJ6" s="3"/>
      <c r="BP6" s="30"/>
      <c r="BQ6" s="71"/>
      <c r="BR6" s="3"/>
      <c r="BS6" s="453"/>
      <c r="BT6" s="453"/>
      <c r="BU6" s="453"/>
      <c r="BV6" s="453"/>
      <c r="BW6" s="3"/>
    </row>
    <row r="7" spans="1:98" x14ac:dyDescent="0.2">
      <c r="A7" s="44"/>
      <c r="E7" s="21"/>
      <c r="F7" s="21"/>
      <c r="H7" s="2"/>
      <c r="I7" s="339"/>
      <c r="J7" s="103"/>
      <c r="K7" s="103"/>
      <c r="L7" s="22"/>
      <c r="M7" s="103"/>
      <c r="N7" s="2"/>
      <c r="W7" s="55"/>
      <c r="X7" s="57"/>
      <c r="Y7" s="2"/>
      <c r="AH7" s="61"/>
      <c r="AI7" s="4"/>
      <c r="AJ7" s="2"/>
      <c r="AM7" s="3"/>
      <c r="AN7" s="63"/>
      <c r="AO7" s="63"/>
      <c r="AP7" s="64"/>
      <c r="AQ7" s="64"/>
      <c r="AR7" s="3"/>
      <c r="AS7" s="11"/>
      <c r="AT7" s="11"/>
      <c r="AU7" s="11"/>
      <c r="AV7" s="11"/>
      <c r="AW7" s="3"/>
      <c r="AX7" s="11"/>
      <c r="AY7" s="11"/>
      <c r="AZ7" s="11"/>
      <c r="BA7" s="11"/>
      <c r="BB7" s="3"/>
      <c r="BC7" s="50"/>
      <c r="BD7" s="50"/>
      <c r="BE7" s="50"/>
      <c r="BF7" s="50"/>
      <c r="BG7" s="50"/>
      <c r="BH7" s="50"/>
      <c r="BI7" s="70"/>
      <c r="BJ7" s="3"/>
      <c r="BK7" s="50"/>
      <c r="BL7" s="22"/>
      <c r="BM7" s="22"/>
      <c r="BN7" s="22"/>
      <c r="BO7" s="22"/>
      <c r="BP7" s="22"/>
      <c r="BQ7" s="71"/>
      <c r="BR7" s="3"/>
      <c r="BS7" s="453"/>
      <c r="BT7" s="453"/>
      <c r="BU7" s="453"/>
      <c r="BV7" s="453"/>
      <c r="BW7" s="3"/>
    </row>
    <row r="8" spans="1:98" x14ac:dyDescent="0.2">
      <c r="A8" s="44"/>
      <c r="E8" s="21"/>
      <c r="F8" s="21"/>
      <c r="H8" s="2"/>
      <c r="I8" s="339"/>
      <c r="J8" s="22"/>
      <c r="K8" s="22"/>
      <c r="L8" s="22"/>
      <c r="M8" s="22"/>
      <c r="N8" s="2"/>
      <c r="P8" s="30"/>
      <c r="T8" s="30"/>
      <c r="U8" s="30"/>
      <c r="V8" s="30"/>
      <c r="W8" s="55"/>
      <c r="X8" s="52"/>
      <c r="Y8" s="2"/>
      <c r="Z8" s="30"/>
      <c r="AA8" s="30"/>
      <c r="AB8" s="30"/>
      <c r="AC8" s="30"/>
      <c r="AD8" s="30"/>
      <c r="AE8" s="30"/>
      <c r="AF8" s="30"/>
      <c r="AG8" s="30"/>
      <c r="AH8" s="60"/>
      <c r="AI8" s="227"/>
      <c r="AJ8" s="2"/>
      <c r="AL8" s="30"/>
      <c r="AM8" s="3"/>
      <c r="AN8" s="63"/>
      <c r="AO8" s="63"/>
      <c r="AP8" s="64"/>
      <c r="AQ8" s="64"/>
      <c r="AR8" s="3"/>
      <c r="AS8" s="49"/>
      <c r="AT8" s="49"/>
      <c r="AU8" s="66"/>
      <c r="AV8" s="66"/>
      <c r="AW8" s="3"/>
      <c r="AX8" s="49"/>
      <c r="AY8" s="49"/>
      <c r="AZ8" s="66"/>
      <c r="BA8" s="66"/>
      <c r="BB8" s="3"/>
      <c r="BC8" s="50"/>
      <c r="BD8" s="22"/>
      <c r="BE8" s="22"/>
      <c r="BF8" s="22"/>
      <c r="BG8" s="22"/>
      <c r="BH8" s="22"/>
      <c r="BI8" s="70"/>
      <c r="BJ8" s="3"/>
      <c r="BK8" s="50"/>
      <c r="BL8" s="50"/>
      <c r="BM8" s="50"/>
      <c r="BN8" s="50"/>
      <c r="BO8" s="50"/>
      <c r="BP8" s="50"/>
      <c r="BQ8" s="71"/>
      <c r="BR8" s="3"/>
      <c r="BS8" s="30"/>
      <c r="BT8" s="30"/>
      <c r="BU8" s="30"/>
      <c r="BV8" s="30"/>
      <c r="BW8" s="3"/>
    </row>
    <row r="9" spans="1:98" x14ac:dyDescent="0.2">
      <c r="A9" s="44"/>
      <c r="E9" s="21"/>
      <c r="F9" s="21"/>
      <c r="H9" s="2"/>
      <c r="I9" s="339"/>
      <c r="J9" s="22"/>
      <c r="K9" s="22"/>
      <c r="L9" s="22"/>
      <c r="M9" s="22"/>
      <c r="N9" s="2"/>
      <c r="R9" s="30"/>
      <c r="S9" s="30"/>
      <c r="T9" s="30"/>
      <c r="U9" s="30"/>
      <c r="V9" s="30"/>
      <c r="W9" s="56"/>
      <c r="X9" s="52"/>
      <c r="Y9" s="2"/>
      <c r="AC9" s="30"/>
      <c r="AD9" s="30"/>
      <c r="AE9" s="30"/>
      <c r="AF9" s="30"/>
      <c r="AG9" s="30"/>
      <c r="AH9" s="61"/>
      <c r="AI9" s="227"/>
      <c r="AJ9" s="2"/>
      <c r="AM9" s="3"/>
      <c r="AN9" s="63"/>
      <c r="AO9" s="63"/>
      <c r="AP9" s="64"/>
      <c r="AQ9" s="64"/>
      <c r="AR9" s="3"/>
      <c r="AS9" s="49"/>
      <c r="AT9" s="49"/>
      <c r="AU9" s="263"/>
      <c r="AV9" s="66"/>
      <c r="AW9" s="3"/>
      <c r="AX9" s="49"/>
      <c r="AY9" s="49"/>
      <c r="AZ9" s="66"/>
      <c r="BA9" s="49"/>
      <c r="BB9" s="3"/>
      <c r="BC9" s="49"/>
      <c r="BD9" s="49"/>
      <c r="BE9" s="49"/>
      <c r="BF9" s="11"/>
      <c r="BG9" s="11"/>
      <c r="BH9" s="11"/>
      <c r="BI9" s="70"/>
      <c r="BJ9" s="3"/>
      <c r="BK9" s="49"/>
      <c r="BL9" s="49"/>
      <c r="BM9" s="49"/>
      <c r="BQ9" s="71"/>
      <c r="BR9" s="3"/>
      <c r="BS9" s="73"/>
      <c r="BT9" s="73"/>
      <c r="BU9" s="73"/>
      <c r="BV9" s="73"/>
      <c r="BW9" s="3"/>
    </row>
    <row r="10" spans="1:98" x14ac:dyDescent="0.2">
      <c r="H10" s="2"/>
      <c r="N10" s="2"/>
      <c r="Y10" s="2"/>
      <c r="AJ10" s="2"/>
      <c r="AM10" s="3"/>
      <c r="AR10" s="3"/>
      <c r="AW10" s="3"/>
      <c r="BB10" s="3"/>
      <c r="BJ10" s="3"/>
      <c r="BR10" s="3"/>
      <c r="BW10" s="3"/>
    </row>
    <row r="11" spans="1:98" x14ac:dyDescent="0.2">
      <c r="H11" s="2"/>
      <c r="N11" s="2"/>
      <c r="Y11" s="2"/>
      <c r="AJ11" s="2"/>
      <c r="AM11" s="3"/>
      <c r="AR11" s="3"/>
      <c r="AW11" s="3"/>
      <c r="BB11" s="3"/>
      <c r="BJ11" s="3"/>
      <c r="BR11" s="3"/>
      <c r="BW11" s="3"/>
      <c r="BY11" s="67"/>
    </row>
    <row r="12" spans="1:98" x14ac:dyDescent="0.2">
      <c r="H12" s="2"/>
      <c r="N12" s="2"/>
      <c r="Y12" s="2"/>
      <c r="AJ12" s="2"/>
      <c r="AM12" s="3"/>
      <c r="AR12" s="3"/>
      <c r="AW12" s="3"/>
      <c r="BB12" s="3"/>
      <c r="BJ12" s="3"/>
      <c r="BR12" s="3"/>
      <c r="BW12" s="3"/>
    </row>
    <row r="13" spans="1:98" x14ac:dyDescent="0.2">
      <c r="H13" s="2"/>
      <c r="N13" s="2"/>
      <c r="Y13" s="2"/>
      <c r="AJ13" s="2"/>
      <c r="AM13" s="3"/>
      <c r="AR13" s="3"/>
      <c r="AW13" s="3"/>
      <c r="BB13" s="3"/>
      <c r="BJ13" s="3"/>
      <c r="BR13" s="3"/>
      <c r="BW13" s="3"/>
    </row>
    <row r="14" spans="1:98" x14ac:dyDescent="0.2">
      <c r="H14" s="2"/>
      <c r="N14" s="2"/>
      <c r="Y14" s="2"/>
      <c r="AJ14" s="2"/>
      <c r="AM14" s="3"/>
      <c r="AR14" s="3"/>
      <c r="AW14" s="3"/>
      <c r="BB14" s="3"/>
      <c r="BR14" s="3"/>
      <c r="BW14" s="3"/>
    </row>
    <row r="15" spans="1:98" x14ac:dyDescent="0.2">
      <c r="H15" s="2"/>
      <c r="N15" s="2"/>
      <c r="Y15" s="2"/>
      <c r="AJ15" s="2"/>
      <c r="AM15" s="3"/>
      <c r="AR15" s="3"/>
      <c r="AW15" s="3"/>
      <c r="BB15" s="3"/>
      <c r="BR15" s="3"/>
      <c r="BW15" s="3"/>
    </row>
    <row r="16" spans="1:98" x14ac:dyDescent="0.2">
      <c r="H16" s="2"/>
      <c r="N16" s="2"/>
      <c r="Y16" s="2"/>
      <c r="AJ16" s="2"/>
      <c r="AM16" s="3"/>
      <c r="AR16" s="3"/>
      <c r="BB16" s="3"/>
      <c r="BR16" s="3"/>
      <c r="BW16" s="3"/>
    </row>
    <row r="17" spans="1:75" x14ac:dyDescent="0.2">
      <c r="H17" s="2"/>
      <c r="N17" s="2"/>
      <c r="Y17" s="2"/>
      <c r="AJ17" s="2"/>
      <c r="AR17" s="3"/>
      <c r="BB17" s="3"/>
      <c r="BW17" s="3"/>
    </row>
    <row r="18" spans="1:75" x14ac:dyDescent="0.2">
      <c r="H18" s="2"/>
      <c r="N18" s="2"/>
      <c r="AJ18" s="2"/>
      <c r="AR18" s="3"/>
      <c r="BB18" s="3"/>
    </row>
    <row r="19" spans="1:75" x14ac:dyDescent="0.2">
      <c r="N19" s="2"/>
      <c r="AJ19" s="2"/>
    </row>
    <row r="20" spans="1:75" x14ac:dyDescent="0.2">
      <c r="N20" s="2"/>
      <c r="AJ20" s="2"/>
    </row>
    <row r="21" spans="1:75" x14ac:dyDescent="0.2">
      <c r="N21" s="2"/>
      <c r="AJ21" s="2"/>
    </row>
    <row r="22" spans="1:75" x14ac:dyDescent="0.2">
      <c r="A22" s="115" t="s">
        <v>636</v>
      </c>
      <c r="B22" s="115"/>
      <c r="C22" s="327" t="s">
        <v>122</v>
      </c>
      <c r="D22" s="115"/>
      <c r="E22" s="327" t="s">
        <v>125</v>
      </c>
      <c r="F22" s="115"/>
      <c r="G22" s="451" t="s">
        <v>126</v>
      </c>
      <c r="H22" s="451"/>
      <c r="I22" s="451"/>
      <c r="J22" s="451"/>
      <c r="K22" s="115"/>
      <c r="L22" s="451" t="s">
        <v>319</v>
      </c>
      <c r="M22" s="451"/>
      <c r="N22" s="451"/>
      <c r="O22" s="451"/>
      <c r="P22" s="116"/>
      <c r="Q22" s="115" t="s">
        <v>320</v>
      </c>
      <c r="R22" s="115"/>
      <c r="S22" s="117"/>
      <c r="T22" s="116"/>
      <c r="U22" s="116"/>
      <c r="V22" s="116"/>
      <c r="W22" s="116"/>
      <c r="X22" s="116"/>
      <c r="Y22" s="116"/>
      <c r="Z22" s="116"/>
      <c r="AA22" s="116"/>
      <c r="AB22" s="116"/>
      <c r="AC22" s="116"/>
      <c r="AD22" s="116"/>
      <c r="AE22" s="116"/>
      <c r="AF22" s="116"/>
      <c r="AG22" s="116"/>
      <c r="AH22" s="116"/>
      <c r="AI22" s="116"/>
      <c r="AJ22" s="2"/>
      <c r="AK22" s="116"/>
      <c r="AL22" s="116"/>
      <c r="AM22" s="116"/>
      <c r="AN22" s="116"/>
      <c r="AO22" s="116"/>
    </row>
    <row r="23" spans="1:75" x14ac:dyDescent="0.2">
      <c r="A23" s="118"/>
      <c r="B23" s="118"/>
      <c r="C23" s="118" t="s">
        <v>323</v>
      </c>
      <c r="D23" s="119" t="s">
        <v>324</v>
      </c>
      <c r="E23" s="118" t="s">
        <v>323</v>
      </c>
      <c r="F23" s="118" t="s">
        <v>324</v>
      </c>
      <c r="G23" s="118" t="s">
        <v>325</v>
      </c>
      <c r="H23" s="118" t="s">
        <v>326</v>
      </c>
      <c r="I23" s="118" t="s">
        <v>327</v>
      </c>
      <c r="J23" s="118" t="s">
        <v>323</v>
      </c>
      <c r="K23" s="120" t="s">
        <v>328</v>
      </c>
      <c r="L23" s="118" t="s">
        <v>329</v>
      </c>
      <c r="M23" s="118" t="s">
        <v>330</v>
      </c>
      <c r="N23" s="118" t="s">
        <v>331</v>
      </c>
      <c r="O23" s="121" t="s">
        <v>323</v>
      </c>
      <c r="P23" s="122"/>
      <c r="Q23" s="122" t="s">
        <v>332</v>
      </c>
      <c r="R23" s="122" t="s">
        <v>333</v>
      </c>
      <c r="S23" s="122" t="s">
        <v>334</v>
      </c>
      <c r="T23" s="122" t="s">
        <v>335</v>
      </c>
      <c r="U23" s="122"/>
      <c r="V23" s="122"/>
      <c r="W23" s="122"/>
      <c r="X23" s="122"/>
      <c r="Y23" s="122"/>
      <c r="Z23" s="122"/>
      <c r="AA23" s="122"/>
      <c r="AB23" s="122"/>
      <c r="AC23" s="122"/>
      <c r="AD23" s="122"/>
      <c r="AE23" s="122"/>
      <c r="AF23" s="122"/>
      <c r="AG23" s="122"/>
      <c r="AH23" s="122"/>
      <c r="AI23" s="122"/>
      <c r="AJ23" s="2"/>
      <c r="AK23" s="122"/>
      <c r="AL23" s="122"/>
      <c r="AM23" s="122"/>
      <c r="AN23" s="122"/>
      <c r="AO23" s="122"/>
    </row>
    <row r="24" spans="1:75" s="355" customFormat="1" x14ac:dyDescent="0.2">
      <c r="A24" s="358"/>
      <c r="B24" s="359"/>
      <c r="C24" s="454" t="s">
        <v>280</v>
      </c>
      <c r="D24" s="454"/>
      <c r="E24" s="360">
        <v>4</v>
      </c>
      <c r="F24" s="360" t="s">
        <v>349</v>
      </c>
      <c r="G24" s="360">
        <v>26</v>
      </c>
      <c r="H24" s="360">
        <v>6</v>
      </c>
      <c r="I24" s="360">
        <v>10</v>
      </c>
      <c r="J24" s="360">
        <v>42</v>
      </c>
      <c r="K24" s="360" t="s">
        <v>46</v>
      </c>
      <c r="L24" s="454" t="s">
        <v>280</v>
      </c>
      <c r="M24" s="454"/>
      <c r="N24" s="454"/>
      <c r="O24" s="454"/>
      <c r="P24" s="361"/>
      <c r="Q24" s="360">
        <v>14</v>
      </c>
      <c r="R24" s="360">
        <v>10</v>
      </c>
      <c r="S24" s="360">
        <v>2</v>
      </c>
      <c r="T24" s="362"/>
      <c r="U24" s="361"/>
      <c r="V24" s="361"/>
      <c r="W24" s="361"/>
      <c r="X24" s="361"/>
      <c r="Y24" s="361"/>
      <c r="Z24" s="361"/>
      <c r="AA24" s="361"/>
      <c r="AB24" s="361"/>
      <c r="AC24" s="361"/>
      <c r="AD24" s="361"/>
      <c r="AE24" s="361"/>
      <c r="AF24" s="361"/>
      <c r="AG24" s="361"/>
      <c r="AH24" s="361"/>
      <c r="AI24" s="361"/>
      <c r="AJ24" s="363"/>
      <c r="AK24" s="361"/>
      <c r="AL24" s="361"/>
      <c r="AM24" s="361"/>
      <c r="AN24" s="361"/>
      <c r="AO24" s="361"/>
    </row>
    <row r="25" spans="1:75" x14ac:dyDescent="0.2">
      <c r="A25" s="364"/>
      <c r="B25" s="365"/>
      <c r="C25" s="455"/>
      <c r="D25" s="455"/>
      <c r="E25" s="366"/>
      <c r="F25" s="366"/>
      <c r="G25" s="366"/>
      <c r="H25" s="366"/>
      <c r="I25" s="366"/>
      <c r="J25" s="366"/>
      <c r="K25" s="366"/>
      <c r="L25" s="455"/>
      <c r="M25" s="455"/>
      <c r="N25" s="455"/>
      <c r="O25" s="455"/>
      <c r="P25" s="367"/>
      <c r="Q25" s="366"/>
      <c r="R25" s="366"/>
      <c r="S25" s="366"/>
      <c r="T25" s="367"/>
      <c r="U25" s="367"/>
      <c r="V25" s="367"/>
      <c r="W25" s="367"/>
      <c r="X25" s="367"/>
      <c r="Y25" s="367"/>
      <c r="Z25" s="367"/>
      <c r="AA25" s="367"/>
      <c r="AB25" s="367"/>
      <c r="AC25" s="367"/>
      <c r="AD25" s="367"/>
      <c r="AE25" s="367"/>
      <c r="AF25" s="367"/>
      <c r="AG25" s="367"/>
      <c r="AH25" s="367"/>
      <c r="AI25" s="367"/>
      <c r="AJ25" s="367"/>
      <c r="AK25" s="367"/>
      <c r="AL25" s="367"/>
      <c r="AM25" s="367"/>
      <c r="AN25" s="367"/>
      <c r="AO25" s="367"/>
    </row>
    <row r="26" spans="1:75" x14ac:dyDescent="0.2">
      <c r="C26" s="4"/>
      <c r="D26" s="4"/>
      <c r="G26" s="4"/>
      <c r="H26" s="4"/>
      <c r="I26" s="4"/>
      <c r="J26" s="4"/>
      <c r="K26" s="4"/>
      <c r="L26" s="4"/>
      <c r="M26" s="4"/>
      <c r="N26" s="4"/>
      <c r="O26" s="4"/>
      <c r="Q26" s="4"/>
      <c r="R26" s="4"/>
      <c r="S26" s="4"/>
    </row>
    <row r="31" spans="1:75" x14ac:dyDescent="0.2">
      <c r="I31" s="368" t="s">
        <v>642</v>
      </c>
    </row>
    <row r="32" spans="1:75" x14ac:dyDescent="0.2">
      <c r="A32" s="20" t="s">
        <v>82</v>
      </c>
      <c r="B32" s="1" t="s">
        <v>108</v>
      </c>
      <c r="C32" s="1" t="s">
        <v>169</v>
      </c>
      <c r="D32" s="1" t="s">
        <v>55</v>
      </c>
      <c r="E32" s="20" t="s">
        <v>170</v>
      </c>
      <c r="F32" s="20" t="s">
        <v>171</v>
      </c>
      <c r="G32" s="20" t="s">
        <v>172</v>
      </c>
      <c r="H32" s="20" t="s">
        <v>173</v>
      </c>
      <c r="I32" s="20" t="s">
        <v>174</v>
      </c>
      <c r="J32" s="20" t="s">
        <v>643</v>
      </c>
      <c r="K32" s="20" t="s">
        <v>175</v>
      </c>
      <c r="L32" s="20" t="s">
        <v>176</v>
      </c>
      <c r="M32" s="20" t="s">
        <v>177</v>
      </c>
      <c r="N32" s="20" t="s">
        <v>178</v>
      </c>
      <c r="O32" s="20" t="s">
        <v>179</v>
      </c>
      <c r="P32" s="20" t="s">
        <v>180</v>
      </c>
      <c r="Q32" s="20" t="s">
        <v>181</v>
      </c>
      <c r="R32" s="20" t="s">
        <v>182</v>
      </c>
    </row>
    <row r="33" spans="1:18" x14ac:dyDescent="0.2">
      <c r="A33" s="219"/>
      <c r="B33" s="299">
        <v>529031</v>
      </c>
      <c r="C33" s="220"/>
      <c r="D33" s="220" t="s">
        <v>640</v>
      </c>
      <c r="E33" s="221">
        <v>46163</v>
      </c>
      <c r="F33" s="221">
        <v>26361</v>
      </c>
      <c r="G33" s="232">
        <f>INT((E33)-F33)/365</f>
        <v>54.252054794520546</v>
      </c>
      <c r="H33" s="220" t="s">
        <v>185</v>
      </c>
      <c r="I33" s="369"/>
      <c r="J33" s="369"/>
      <c r="K33" s="369"/>
      <c r="L33" s="369"/>
      <c r="M33" s="369"/>
      <c r="N33" s="369"/>
      <c r="O33" s="369"/>
      <c r="P33" s="369"/>
      <c r="Q33" s="370"/>
      <c r="R33" s="286"/>
    </row>
  </sheetData>
  <mergeCells count="24">
    <mergeCell ref="AK3:AL3"/>
    <mergeCell ref="L1:M1"/>
    <mergeCell ref="AC2:AE2"/>
    <mergeCell ref="I3:M3"/>
    <mergeCell ref="O3:V3"/>
    <mergeCell ref="Z3:AG3"/>
    <mergeCell ref="BS7:BV7"/>
    <mergeCell ref="AN3:AQ3"/>
    <mergeCell ref="AS3:AV3"/>
    <mergeCell ref="AX3:BA3"/>
    <mergeCell ref="BC3:BH3"/>
    <mergeCell ref="BK3:BP3"/>
    <mergeCell ref="BS3:BV3"/>
    <mergeCell ref="BX3:BY3"/>
    <mergeCell ref="AN5:AQ5"/>
    <mergeCell ref="BK5:BQ5"/>
    <mergeCell ref="BS5:BV5"/>
    <mergeCell ref="BS6:BV6"/>
    <mergeCell ref="G22:J22"/>
    <mergeCell ref="L22:O22"/>
    <mergeCell ref="C24:D24"/>
    <mergeCell ref="L24:O24"/>
    <mergeCell ref="C25:D25"/>
    <mergeCell ref="L25:O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00B1-842B-4326-BAF8-054A84B4C16E}">
  <dimension ref="A1"/>
  <sheetViews>
    <sheetView workbookViewId="0"/>
  </sheetViews>
  <sheetFormatPr baseColWidth="10" defaultColWidth="8.83203125"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Data Summary</vt:lpstr>
      <vt:lpstr>EXP Participant Summary </vt:lpstr>
      <vt:lpstr>CTRL Participant Summary</vt:lpstr>
      <vt:lpstr>Demographics</vt:lpstr>
      <vt:lpstr>Audio Data</vt:lpstr>
      <vt:lpstr>Questionnaires</vt:lpstr>
      <vt:lpstr>Questionnaires (OpenBCi)</vt:lpstr>
      <vt:lpstr>Questionnaires (Neurable)</vt:lpstr>
      <vt:lpstr>Data Quality</vt:lpstr>
      <vt:lpstr>Severity Data Sum</vt:lpstr>
      <vt:lpstr>Unfinished</vt:lpstr>
      <vt:lpstr>Excluded Data</vt:lpstr>
      <vt:lpstr>Exclusion Reason (TBF)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Rivera Rosario</dc:creator>
  <cp:keywords/>
  <dc:description/>
  <cp:lastModifiedBy>Elizabeth Rivera Rosario</cp:lastModifiedBy>
  <cp:revision/>
  <dcterms:created xsi:type="dcterms:W3CDTF">2025-11-03T17:53:32Z</dcterms:created>
  <dcterms:modified xsi:type="dcterms:W3CDTF">2026-08-26T19:38:40Z</dcterms:modified>
  <cp:category/>
  <cp:contentStatus/>
</cp:coreProperties>
</file>